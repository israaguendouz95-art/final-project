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0E9FC3-B473-4F99-AAED-E45F4049BF69}" xr6:coauthVersionLast="47" xr6:coauthVersionMax="47" xr10:uidLastSave="{00000000-0000-0000-0000-000000000000}"/>
  <bookViews>
    <workbookView xWindow="9510" yWindow="0" windowWidth="9780" windowHeight="10170" firstSheet="2" activeTab="4" xr2:uid="{38A748A3-6479-477B-BC1B-E1ADC0DC8704}"/>
  </bookViews>
  <sheets>
    <sheet name="Feuil1" sheetId="1" r:id="rId1"/>
    <sheet name="Feuil2" sheetId="3" r:id="rId2"/>
    <sheet name="Feuil3" sheetId="4" r:id="rId3"/>
    <sheet name="Feuil4 " sheetId="7" r:id="rId4"/>
    <sheet name="Feuil5" sheetId="5" r:id="rId5"/>
    <sheet name="Feuil6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7" l="1"/>
  <c r="E2" i="7" s="1"/>
  <c r="D3" i="7"/>
  <c r="E3" i="7"/>
  <c r="F3" i="7"/>
  <c r="G3" i="7"/>
  <c r="D4" i="7"/>
  <c r="E4" i="7" s="1"/>
  <c r="D5" i="7"/>
  <c r="E5" i="7"/>
  <c r="F5" i="7"/>
  <c r="G5" i="7"/>
  <c r="D6" i="7"/>
  <c r="E6" i="7" s="1"/>
  <c r="D7" i="7"/>
  <c r="E7" i="7"/>
  <c r="F7" i="7"/>
  <c r="G7" i="7"/>
  <c r="D8" i="7"/>
  <c r="E8" i="7" s="1"/>
  <c r="D9" i="7"/>
  <c r="E9" i="7"/>
  <c r="F9" i="7"/>
  <c r="G9" i="7"/>
  <c r="D10" i="7"/>
  <c r="E10" i="7" s="1"/>
  <c r="D11" i="7"/>
  <c r="E11" i="7"/>
  <c r="F11" i="7"/>
  <c r="G11" i="7"/>
  <c r="D12" i="7"/>
  <c r="E12" i="7" s="1"/>
  <c r="D13" i="7"/>
  <c r="E13" i="7"/>
  <c r="F13" i="7"/>
  <c r="G13" i="7"/>
  <c r="D14" i="7"/>
  <c r="E14" i="7" s="1"/>
  <c r="D15" i="7"/>
  <c r="E15" i="7"/>
  <c r="F15" i="7"/>
  <c r="G15" i="7"/>
  <c r="G14" i="7" l="1"/>
  <c r="G10" i="7"/>
  <c r="G2" i="7"/>
  <c r="F17" i="7" s="1"/>
  <c r="F14" i="7"/>
  <c r="F12" i="7"/>
  <c r="G12" i="7" s="1"/>
  <c r="F10" i="7"/>
  <c r="F8" i="7"/>
  <c r="G8" i="7" s="1"/>
  <c r="F6" i="7"/>
  <c r="G6" i="7" s="1"/>
  <c r="F4" i="7"/>
  <c r="G4" i="7" s="1"/>
  <c r="F2" i="7"/>
  <c r="D9" i="4"/>
  <c r="D13" i="3"/>
  <c r="E13" i="3"/>
  <c r="F19" i="7" l="1"/>
  <c r="F20" i="7"/>
  <c r="D17" i="4"/>
  <c r="E9" i="4" s="1"/>
</calcChain>
</file>

<file path=xl/sharedStrings.xml><?xml version="1.0" encoding="utf-8"?>
<sst xmlns="http://schemas.openxmlformats.org/spreadsheetml/2006/main" count="82" uniqueCount="77">
  <si>
    <t>Physics,Harvard</t>
  </si>
  <si>
    <t>Arts,Brown</t>
  </si>
  <si>
    <t>Arts,Penn State</t>
  </si>
  <si>
    <t>Mathematics,Yale</t>
  </si>
  <si>
    <t>Psychology,Harvard</t>
  </si>
  <si>
    <t>Mathematics,Cornell</t>
  </si>
  <si>
    <t>Psychology,Brown</t>
  </si>
  <si>
    <t>Economics,Yale</t>
  </si>
  <si>
    <t>Physics,Penn State</t>
  </si>
  <si>
    <t>Mathematics,Penn State</t>
  </si>
  <si>
    <t>Psychology,Cornell</t>
  </si>
  <si>
    <t>Arts,Yale</t>
  </si>
  <si>
    <t>Physics,Brown</t>
  </si>
  <si>
    <t>Economics,Dartmouth</t>
  </si>
  <si>
    <t>Economics,Harvard</t>
  </si>
  <si>
    <t>Arts,Columbia</t>
  </si>
  <si>
    <t>Economics,Cornell</t>
  </si>
  <si>
    <t>Arts,Harvard</t>
  </si>
  <si>
    <t>Arts,Cornell</t>
  </si>
  <si>
    <t>Mathematics,Princeton</t>
  </si>
  <si>
    <t>Mathematics,Harvard</t>
  </si>
  <si>
    <t>Mathematics,Brown</t>
  </si>
  <si>
    <t>Physics,Dartmouth</t>
  </si>
  <si>
    <t>Psychology,Dartmouth</t>
  </si>
  <si>
    <t>Economics,Brown</t>
  </si>
  <si>
    <t>Economics,Penn State</t>
  </si>
  <si>
    <t>Psychology,Princeton</t>
  </si>
  <si>
    <t>Physics,Columbia</t>
  </si>
  <si>
    <t>Psychology,Columbia</t>
  </si>
  <si>
    <t>Physics,Cornell</t>
  </si>
  <si>
    <t>Physics,Yale</t>
  </si>
  <si>
    <t>Physics,Princeton</t>
  </si>
  <si>
    <t>Mathematics,Dartmouth</t>
  </si>
  <si>
    <t>Arts,Dartmouth</t>
  </si>
  <si>
    <t>Psychology,Penn State</t>
  </si>
  <si>
    <t>Economics,Columbia</t>
  </si>
  <si>
    <t>Arts,Princeton</t>
  </si>
  <si>
    <t>Psychology,Yale</t>
  </si>
  <si>
    <t>Mathematics,Columbia</t>
  </si>
  <si>
    <t>Economics,Princeton</t>
  </si>
  <si>
    <t>Ivy League Applicants</t>
  </si>
  <si>
    <t>students</t>
  </si>
  <si>
    <t>Faculty,Univercity</t>
  </si>
  <si>
    <t>Total a payer</t>
  </si>
  <si>
    <t>QTE</t>
  </si>
  <si>
    <t>Total général</t>
  </si>
  <si>
    <t>Psychology</t>
  </si>
  <si>
    <t>Physics</t>
  </si>
  <si>
    <t>Mathematics</t>
  </si>
  <si>
    <t>Economics</t>
  </si>
  <si>
    <t>Arts</t>
  </si>
  <si>
    <t>Moyenne de Students2</t>
  </si>
  <si>
    <t xml:space="preserve">Somme de Students </t>
  </si>
  <si>
    <t>Étiquettes de lignes</t>
  </si>
  <si>
    <t>Table1:</t>
  </si>
  <si>
    <t>Yale</t>
  </si>
  <si>
    <t>Princeton</t>
  </si>
  <si>
    <t>Penn State</t>
  </si>
  <si>
    <t>Harverd</t>
  </si>
  <si>
    <t>Dartmouth</t>
  </si>
  <si>
    <t>Cornell</t>
  </si>
  <si>
    <t>Colombia</t>
  </si>
  <si>
    <t>Brown</t>
  </si>
  <si>
    <t xml:space="preserve">Étiquettes de lignes </t>
  </si>
  <si>
    <t>Table2:</t>
  </si>
  <si>
    <t>Speed (m/s)</t>
  </si>
  <si>
    <t xml:space="preserve">Distance (m) </t>
  </si>
  <si>
    <t xml:space="preserve">Time(s) </t>
  </si>
  <si>
    <t>TTC:</t>
  </si>
  <si>
    <t>Val TVA:</t>
  </si>
  <si>
    <t>TVA:</t>
  </si>
  <si>
    <t>Total Facture:</t>
  </si>
  <si>
    <t>Val remise</t>
  </si>
  <si>
    <t>Remise</t>
  </si>
  <si>
    <t>PT</t>
  </si>
  <si>
    <t>PU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</si>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</sst>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DZD&quot;"/>
  </numFmts>
  <fonts count="4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0" borderId="0" xfId="0" applyFont="1"/>
    <xf numFmtId="164" fontId="0" fillId="5" borderId="3" xfId="0" applyNumberFormat="1" applyFill="1" applyBorder="1"/>
    <xf numFmtId="164" fontId="0" fillId="5" borderId="6" xfId="0" applyNumberFormat="1" applyFill="1" applyBorder="1"/>
    <xf numFmtId="9" fontId="0" fillId="5" borderId="6" xfId="0" applyNumberFormat="1" applyFill="1" applyBorder="1"/>
    <xf numFmtId="164" fontId="0" fillId="5" borderId="7" xfId="0" applyNumberFormat="1" applyFill="1" applyBorder="1"/>
    <xf numFmtId="0" fontId="0" fillId="5" borderId="6" xfId="0" applyFill="1" applyBorder="1"/>
    <xf numFmtId="0" fontId="0" fillId="5" borderId="8" xfId="0" applyFill="1" applyBorder="1"/>
    <xf numFmtId="164" fontId="0" fillId="4" borderId="4" xfId="0" applyNumberFormat="1" applyFill="1" applyBorder="1"/>
    <xf numFmtId="164" fontId="0" fillId="4" borderId="9" xfId="0" applyNumberFormat="1" applyFill="1" applyBorder="1"/>
    <xf numFmtId="9" fontId="0" fillId="4" borderId="9" xfId="0" applyNumberFormat="1" applyFill="1" applyBorder="1"/>
    <xf numFmtId="164" fontId="0" fillId="4" borderId="10" xfId="0" applyNumberFormat="1" applyFill="1" applyBorder="1"/>
    <xf numFmtId="0" fontId="0" fillId="4" borderId="9" xfId="0" applyFill="1" applyBorder="1"/>
    <xf numFmtId="0" fontId="0" fillId="4" borderId="11" xfId="0" applyFill="1" applyBorder="1"/>
    <xf numFmtId="164" fontId="0" fillId="5" borderId="4" xfId="0" applyNumberFormat="1" applyFill="1" applyBorder="1"/>
    <xf numFmtId="164" fontId="0" fillId="5" borderId="9" xfId="0" applyNumberFormat="1" applyFill="1" applyBorder="1"/>
    <xf numFmtId="9" fontId="0" fillId="5" borderId="9" xfId="0" applyNumberFormat="1" applyFill="1" applyBorder="1"/>
    <xf numFmtId="164" fontId="0" fillId="5" borderId="10" xfId="0" applyNumberFormat="1" applyFill="1" applyBorder="1"/>
    <xf numFmtId="0" fontId="0" fillId="5" borderId="9" xfId="0" applyFill="1" applyBorder="1"/>
    <xf numFmtId="0" fontId="0" fillId="5" borderId="11" xfId="0" applyFill="1" applyBorder="1"/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9" fontId="2" fillId="6" borderId="12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2" fontId="2" fillId="6" borderId="12" xfId="0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64" fontId="0" fillId="0" borderId="15" xfId="0" applyNumberFormat="1" applyBorder="1"/>
    <xf numFmtId="0" fontId="2" fillId="0" borderId="16" xfId="0" applyFont="1" applyBorder="1" applyAlignment="1">
      <alignment horizontal="right" vertical="center"/>
    </xf>
    <xf numFmtId="164" fontId="3" fillId="4" borderId="15" xfId="0" applyNumberFormat="1" applyFont="1" applyFill="1" applyBorder="1"/>
    <xf numFmtId="0" fontId="2" fillId="0" borderId="2" xfId="0" applyFont="1" applyBorder="1" applyAlignment="1">
      <alignment horizontal="right" vertical="center"/>
    </xf>
    <xf numFmtId="9" fontId="0" fillId="0" borderId="17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 /Distance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Feuil5!$E$5</c:f>
              <c:strCache>
                <c:ptCount val="1"/>
                <c:pt idx="0">
                  <c:v>Speed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Feuil5!$D$6:$D$15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Feuil5!$E$6:$E$15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5.6666666670000003</c:v>
                </c:pt>
                <c:pt idx="3">
                  <c:v>6.75</c:v>
                </c:pt>
                <c:pt idx="4">
                  <c:v>7.4</c:v>
                </c:pt>
                <c:pt idx="5">
                  <c:v>8.1666666669999994</c:v>
                </c:pt>
                <c:pt idx="6">
                  <c:v>9</c:v>
                </c:pt>
                <c:pt idx="7">
                  <c:v>9.375</c:v>
                </c:pt>
                <c:pt idx="8">
                  <c:v>9.2222222219999992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A-425E-81B2-F4424D4B7433}"/>
            </c:ext>
          </c:extLst>
        </c:ser>
        <c:ser>
          <c:idx val="1"/>
          <c:order val="1"/>
          <c:tx>
            <c:strRef>
              <c:f>Feuil5!$D$5</c:f>
              <c:strCache>
                <c:ptCount val="1"/>
                <c:pt idx="0">
                  <c:v>Distance (m)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FCA-425E-81B2-F4424D4B7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04360"/>
        <c:axId val="536901120"/>
      </c:lineChart>
      <c:catAx>
        <c:axId val="536904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6901120"/>
        <c:crosses val="autoZero"/>
        <c:auto val="1"/>
        <c:lblAlgn val="ctr"/>
        <c:lblOffset val="100"/>
        <c:noMultiLvlLbl val="0"/>
      </c:catAx>
      <c:valAx>
        <c:axId val="5369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690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 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Feuil6!$C$3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Feuil6!$B$4:$B$13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Feuil6!$C$4:$C$13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5.6666666670000003</c:v>
                </c:pt>
                <c:pt idx="3">
                  <c:v>6.75</c:v>
                </c:pt>
                <c:pt idx="4">
                  <c:v>7.4</c:v>
                </c:pt>
                <c:pt idx="5">
                  <c:v>8.1666666669999994</c:v>
                </c:pt>
                <c:pt idx="6">
                  <c:v>9</c:v>
                </c:pt>
                <c:pt idx="7">
                  <c:v>9.375</c:v>
                </c:pt>
                <c:pt idx="8">
                  <c:v>9.2222222219999992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6-49CC-B479-7FB8026C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924400"/>
        <c:axId val="602922960"/>
      </c:lineChart>
      <c:catAx>
        <c:axId val="60292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2922960"/>
        <c:crosses val="autoZero"/>
        <c:auto val="1"/>
        <c:lblAlgn val="ctr"/>
        <c:lblOffset val="100"/>
        <c:noMultiLvlLbl val="0"/>
      </c:catAx>
      <c:valAx>
        <c:axId val="6029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29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15</xdr:row>
      <xdr:rowOff>176212</xdr:rowOff>
    </xdr:from>
    <xdr:to>
      <xdr:col>5</xdr:col>
      <xdr:colOff>561975</xdr:colOff>
      <xdr:row>30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E2679F7-D5A0-493D-8F4A-197D58984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185737</xdr:rowOff>
    </xdr:from>
    <xdr:to>
      <xdr:col>7</xdr:col>
      <xdr:colOff>47625</xdr:colOff>
      <xdr:row>29</xdr:row>
      <xdr:rowOff>114301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675E81-8BBE-480D-A18E-7C73F82BB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a723f945bcce2b5/final%20project/ISRAA.xlsx" TargetMode="External"/><Relationship Id="rId1" Type="http://schemas.openxmlformats.org/officeDocument/2006/relationships/externalLinkPath" Target="https://d.docs.live.net/1a723f945bcce2b5/final%20project/ISR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Feuil7"/>
      <sheetName val="Feuil2"/>
      <sheetName val="Feuil3"/>
      <sheetName val="Feuil4"/>
      <sheetName val="Feuil8"/>
    </sheetNames>
    <sheetDataSet>
      <sheetData sheetId="0">
        <row r="6">
          <cell r="B6">
            <v>9567</v>
          </cell>
        </row>
        <row r="15">
          <cell r="B15">
            <v>1579</v>
          </cell>
        </row>
        <row r="18">
          <cell r="B18">
            <v>972</v>
          </cell>
        </row>
        <row r="38">
          <cell r="B38">
            <v>1358</v>
          </cell>
        </row>
        <row r="43">
          <cell r="B43">
            <v>651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3BAA0-74AD-487C-8589-EBA2935C0FF2}" name="Tableau1" displayName="Tableau1" ref="A2:B42" totalsRowShown="0" headerRowDxfId="10">
  <autoFilter ref="A2:B42" xr:uid="{CD33BAA0-74AD-487C-8589-EBA2935C0FF2}"/>
  <tableColumns count="2">
    <tableColumn id="1" xr3:uid="{BBB244F9-AEDC-4FDD-B03B-A8C619C49986}" name="students" dataDxfId="9"/>
    <tableColumn id="2" xr3:uid="{CF3C83E4-FA82-4648-BCB2-982CA71F6DB2}" name="Faculty,Univercity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649AD5-5C70-4008-BF5A-87C2E720E900}" name="Tableau8" displayName="Tableau8" ref="C5:E15" totalsRowShown="0" headerRowDxfId="8" dataDxfId="7">
  <autoFilter ref="C5:E15" xr:uid="{BEBBDD38-049B-4632-A0DB-AF173BC9C224}">
    <filterColumn colId="0" hiddenButton="1"/>
    <filterColumn colId="1" hiddenButton="1"/>
    <filterColumn colId="2" hiddenButton="1"/>
  </autoFilter>
  <tableColumns count="3">
    <tableColumn id="1" xr3:uid="{523BF6D2-E848-47E6-90C4-658BB4EECBF8}" name="Time(s) " dataDxfId="6"/>
    <tableColumn id="2" xr3:uid="{2AAA17B8-F9A6-4E73-AC2C-174154C329F6}" name="Distance (m) " dataDxfId="5"/>
    <tableColumn id="3" xr3:uid="{6470E2E6-CFC4-4387-9D42-9962C015E4CF}" name="Speed (m/s)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9A9DF9-C2B8-4F5D-A047-6192B574C9A4}" name="Tableau811" displayName="Tableau811" ref="B3:C13" totalsRowShown="0" headerRowDxfId="3" dataDxfId="2">
  <autoFilter ref="B3:C13" xr:uid="{AF40EADE-FAB2-48B9-AA14-649A0D71772E}"/>
  <tableColumns count="2">
    <tableColumn id="1" xr3:uid="{C61C19F7-A852-4922-8B11-BFB9821CA003}" name="Time(s) " dataDxfId="1"/>
    <tableColumn id="3" xr3:uid="{5A711C00-AD41-4A71-B548-120171C3AB8A}" name="Speed (m/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8523-7118-4AE5-ACEA-A7ED98629F82}">
  <dimension ref="A1:B42"/>
  <sheetViews>
    <sheetView topLeftCell="A8" workbookViewId="0">
      <selection activeCell="B9" sqref="B9"/>
    </sheetView>
  </sheetViews>
  <sheetFormatPr baseColWidth="10" defaultRowHeight="14.5" x14ac:dyDescent="0.35"/>
  <cols>
    <col min="1" max="1" width="16.36328125" customWidth="1"/>
    <col min="2" max="2" width="24.90625" customWidth="1"/>
  </cols>
  <sheetData>
    <row r="1" spans="1:2" ht="24" thickBot="1" x14ac:dyDescent="0.6">
      <c r="A1" s="34" t="s">
        <v>40</v>
      </c>
      <c r="B1" s="34"/>
    </row>
    <row r="2" spans="1:2" ht="15" thickTop="1" x14ac:dyDescent="0.35">
      <c r="A2" s="1" t="s">
        <v>41</v>
      </c>
      <c r="B2" s="1" t="s">
        <v>42</v>
      </c>
    </row>
    <row r="3" spans="1:2" x14ac:dyDescent="0.35">
      <c r="A3" s="1">
        <v>591</v>
      </c>
      <c r="B3" t="s">
        <v>11</v>
      </c>
    </row>
    <row r="4" spans="1:2" x14ac:dyDescent="0.35">
      <c r="A4" s="1">
        <v>9567</v>
      </c>
      <c r="B4" t="s">
        <v>12</v>
      </c>
    </row>
    <row r="5" spans="1:2" x14ac:dyDescent="0.35">
      <c r="A5" s="1">
        <v>542</v>
      </c>
      <c r="B5" t="s">
        <v>13</v>
      </c>
    </row>
    <row r="6" spans="1:2" x14ac:dyDescent="0.35">
      <c r="A6" s="1">
        <v>346</v>
      </c>
      <c r="B6" t="s">
        <v>14</v>
      </c>
    </row>
    <row r="7" spans="1:2" x14ac:dyDescent="0.35">
      <c r="A7" s="1">
        <v>849</v>
      </c>
      <c r="B7" t="s">
        <v>15</v>
      </c>
    </row>
    <row r="8" spans="1:2" x14ac:dyDescent="0.35">
      <c r="A8" s="1">
        <v>552</v>
      </c>
      <c r="B8" t="s">
        <v>16</v>
      </c>
    </row>
    <row r="9" spans="1:2" x14ac:dyDescent="0.35">
      <c r="A9" s="1">
        <v>173</v>
      </c>
      <c r="B9" t="s">
        <v>17</v>
      </c>
    </row>
    <row r="10" spans="1:2" x14ac:dyDescent="0.35">
      <c r="A10" s="1">
        <v>1355</v>
      </c>
      <c r="B10" t="s">
        <v>18</v>
      </c>
    </row>
    <row r="11" spans="1:2" x14ac:dyDescent="0.35">
      <c r="A11" s="1">
        <v>193</v>
      </c>
      <c r="B11" t="s">
        <v>19</v>
      </c>
    </row>
    <row r="12" spans="1:2" x14ac:dyDescent="0.35">
      <c r="A12" s="1">
        <v>615</v>
      </c>
      <c r="B12" t="s">
        <v>20</v>
      </c>
    </row>
    <row r="13" spans="1:2" x14ac:dyDescent="0.35">
      <c r="A13" s="1">
        <v>1579</v>
      </c>
      <c r="B13" t="s">
        <v>21</v>
      </c>
    </row>
    <row r="14" spans="1:2" x14ac:dyDescent="0.35">
      <c r="A14" s="1">
        <v>547</v>
      </c>
      <c r="B14" t="s">
        <v>22</v>
      </c>
    </row>
    <row r="15" spans="1:2" x14ac:dyDescent="0.35">
      <c r="A15" s="1">
        <v>1687</v>
      </c>
      <c r="B15" t="s">
        <v>23</v>
      </c>
    </row>
    <row r="16" spans="1:2" x14ac:dyDescent="0.35">
      <c r="A16" s="1">
        <v>972</v>
      </c>
      <c r="B16" t="s">
        <v>24</v>
      </c>
    </row>
    <row r="17" spans="1:2" x14ac:dyDescent="0.35">
      <c r="A17" s="1">
        <v>234</v>
      </c>
      <c r="B17" t="s">
        <v>25</v>
      </c>
    </row>
    <row r="18" spans="1:2" x14ac:dyDescent="0.35">
      <c r="A18" s="1">
        <v>151</v>
      </c>
      <c r="B18" t="s">
        <v>26</v>
      </c>
    </row>
    <row r="19" spans="1:2" x14ac:dyDescent="0.35">
      <c r="A19" s="1">
        <v>1793</v>
      </c>
      <c r="B19" t="s">
        <v>27</v>
      </c>
    </row>
    <row r="20" spans="1:2" x14ac:dyDescent="0.35">
      <c r="A20" s="1">
        <v>315</v>
      </c>
      <c r="B20" t="s">
        <v>28</v>
      </c>
    </row>
    <row r="21" spans="1:2" x14ac:dyDescent="0.35">
      <c r="A21" s="1">
        <v>618</v>
      </c>
      <c r="B21" t="s">
        <v>29</v>
      </c>
    </row>
    <row r="22" spans="1:2" x14ac:dyDescent="0.35">
      <c r="A22" s="1">
        <v>246</v>
      </c>
      <c r="B22" t="s">
        <v>30</v>
      </c>
    </row>
    <row r="23" spans="1:2" x14ac:dyDescent="0.35">
      <c r="A23" s="1">
        <v>784</v>
      </c>
      <c r="B23" t="s">
        <v>31</v>
      </c>
    </row>
    <row r="24" spans="1:2" x14ac:dyDescent="0.35">
      <c r="A24" s="1">
        <v>316</v>
      </c>
      <c r="B24" t="s">
        <v>32</v>
      </c>
    </row>
    <row r="25" spans="1:2" x14ac:dyDescent="0.35">
      <c r="A25" s="1">
        <v>3155</v>
      </c>
      <c r="B25" t="s">
        <v>33</v>
      </c>
    </row>
    <row r="26" spans="1:2" x14ac:dyDescent="0.35">
      <c r="A26" s="1">
        <v>318</v>
      </c>
      <c r="B26" t="s">
        <v>34</v>
      </c>
    </row>
    <row r="27" spans="1:2" x14ac:dyDescent="0.35">
      <c r="A27" s="1">
        <v>608</v>
      </c>
      <c r="B27" t="s">
        <v>35</v>
      </c>
    </row>
    <row r="28" spans="1:2" x14ac:dyDescent="0.35">
      <c r="A28" s="1">
        <v>561</v>
      </c>
      <c r="B28" t="s">
        <v>36</v>
      </c>
    </row>
    <row r="29" spans="1:2" x14ac:dyDescent="0.35">
      <c r="A29" s="1">
        <v>357</v>
      </c>
      <c r="B29" t="s">
        <v>37</v>
      </c>
    </row>
    <row r="30" spans="1:2" x14ac:dyDescent="0.35">
      <c r="A30" s="1">
        <v>1688</v>
      </c>
      <c r="B30" t="s">
        <v>38</v>
      </c>
    </row>
    <row r="31" spans="1:2" x14ac:dyDescent="0.35">
      <c r="A31" s="1">
        <v>972</v>
      </c>
      <c r="B31" t="s">
        <v>39</v>
      </c>
    </row>
    <row r="32" spans="1:2" x14ac:dyDescent="0.35">
      <c r="A32" s="1">
        <v>568</v>
      </c>
      <c r="B32" t="s">
        <v>8</v>
      </c>
    </row>
    <row r="33" spans="1:2" x14ac:dyDescent="0.35">
      <c r="A33" s="1">
        <v>632</v>
      </c>
      <c r="B33" t="s">
        <v>9</v>
      </c>
    </row>
    <row r="34" spans="1:2" x14ac:dyDescent="0.35">
      <c r="A34" s="1">
        <v>551</v>
      </c>
      <c r="B34" t="s">
        <v>10</v>
      </c>
    </row>
    <row r="35" spans="1:2" x14ac:dyDescent="0.35">
      <c r="A35" s="1">
        <v>948</v>
      </c>
      <c r="B35" t="s">
        <v>0</v>
      </c>
    </row>
    <row r="36" spans="1:2" x14ac:dyDescent="0.35">
      <c r="A36" s="1">
        <v>1358</v>
      </c>
      <c r="B36" t="s">
        <v>1</v>
      </c>
    </row>
    <row r="37" spans="1:2" x14ac:dyDescent="0.35">
      <c r="A37" s="1">
        <v>135</v>
      </c>
      <c r="B37" t="s">
        <v>2</v>
      </c>
    </row>
    <row r="38" spans="1:2" x14ac:dyDescent="0.35">
      <c r="A38" s="1">
        <v>849</v>
      </c>
      <c r="B38" t="s">
        <v>3</v>
      </c>
    </row>
    <row r="39" spans="1:2" x14ac:dyDescent="0.35">
      <c r="A39" s="1">
        <v>158</v>
      </c>
      <c r="B39" t="s">
        <v>4</v>
      </c>
    </row>
    <row r="40" spans="1:2" x14ac:dyDescent="0.35">
      <c r="A40" s="1">
        <v>1889</v>
      </c>
      <c r="B40" t="s">
        <v>5</v>
      </c>
    </row>
    <row r="41" spans="1:2" x14ac:dyDescent="0.35">
      <c r="A41" s="1">
        <v>651</v>
      </c>
      <c r="B41" t="s">
        <v>6</v>
      </c>
    </row>
    <row r="42" spans="1:2" x14ac:dyDescent="0.35">
      <c r="A42" s="1">
        <v>651</v>
      </c>
      <c r="B42" t="s">
        <v>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3A26-3179-49EC-B848-300BB258EDB5}">
  <dimension ref="C4:E13"/>
  <sheetViews>
    <sheetView zoomScaleNormal="100" workbookViewId="0">
      <selection activeCell="D13" sqref="D13"/>
    </sheetView>
  </sheetViews>
  <sheetFormatPr baseColWidth="10" defaultRowHeight="14.5" x14ac:dyDescent="0.35"/>
  <cols>
    <col min="3" max="3" width="25.26953125" customWidth="1"/>
    <col min="4" max="4" width="24.453125" customWidth="1"/>
    <col min="5" max="5" width="23.54296875" customWidth="1"/>
  </cols>
  <sheetData>
    <row r="4" spans="3:5" x14ac:dyDescent="0.35">
      <c r="C4" t="s">
        <v>54</v>
      </c>
    </row>
    <row r="7" spans="3:5" x14ac:dyDescent="0.35">
      <c r="C7" s="3" t="s">
        <v>53</v>
      </c>
      <c r="D7" s="3" t="s">
        <v>52</v>
      </c>
      <c r="E7" s="3" t="s">
        <v>51</v>
      </c>
    </row>
    <row r="8" spans="3:5" x14ac:dyDescent="0.35">
      <c r="C8" t="s">
        <v>50</v>
      </c>
      <c r="D8" s="1">
        <v>8177</v>
      </c>
      <c r="E8">
        <v>1022.125</v>
      </c>
    </row>
    <row r="9" spans="3:5" x14ac:dyDescent="0.35">
      <c r="C9" t="s">
        <v>49</v>
      </c>
      <c r="D9" s="1">
        <v>4877</v>
      </c>
      <c r="E9">
        <v>609.625</v>
      </c>
    </row>
    <row r="10" spans="3:5" x14ac:dyDescent="0.35">
      <c r="C10" t="s">
        <v>48</v>
      </c>
      <c r="D10" s="1">
        <v>7761</v>
      </c>
      <c r="E10">
        <v>970.125</v>
      </c>
    </row>
    <row r="11" spans="3:5" x14ac:dyDescent="0.35">
      <c r="C11" t="s">
        <v>47</v>
      </c>
      <c r="D11" s="1">
        <v>15071</v>
      </c>
      <c r="E11">
        <v>1883.875</v>
      </c>
    </row>
    <row r="12" spans="3:5" x14ac:dyDescent="0.35">
      <c r="C12" t="s">
        <v>46</v>
      </c>
      <c r="D12" s="1">
        <v>4188</v>
      </c>
      <c r="E12">
        <v>523.5</v>
      </c>
    </row>
    <row r="13" spans="3:5" x14ac:dyDescent="0.35">
      <c r="C13" s="2" t="s">
        <v>45</v>
      </c>
      <c r="D13" s="3">
        <f>SUM(D8:D12)</f>
        <v>40074</v>
      </c>
      <c r="E13" s="2">
        <f>SUM(E8:E12)</f>
        <v>5009.25</v>
      </c>
    </row>
  </sheetData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EF4B-6B4C-4ADD-A0BC-41A8E05AD04E}">
  <dimension ref="C6:E17"/>
  <sheetViews>
    <sheetView zoomScaleNormal="100" workbookViewId="0">
      <selection activeCell="C6" sqref="C6"/>
    </sheetView>
  </sheetViews>
  <sheetFormatPr baseColWidth="10" defaultRowHeight="14.5" x14ac:dyDescent="0.35"/>
  <cols>
    <col min="3" max="3" width="25.26953125" customWidth="1"/>
    <col min="4" max="4" width="24.453125" customWidth="1"/>
    <col min="5" max="5" width="23.54296875" customWidth="1"/>
  </cols>
  <sheetData>
    <row r="6" spans="3:5" x14ac:dyDescent="0.35">
      <c r="C6" t="s">
        <v>64</v>
      </c>
    </row>
    <row r="8" spans="3:5" x14ac:dyDescent="0.35">
      <c r="C8" s="2" t="s">
        <v>63</v>
      </c>
      <c r="D8" s="2" t="s">
        <v>52</v>
      </c>
      <c r="E8" s="2" t="s">
        <v>51</v>
      </c>
    </row>
    <row r="9" spans="3:5" x14ac:dyDescent="0.35">
      <c r="C9" t="s">
        <v>62</v>
      </c>
      <c r="D9">
        <f>[1]Feuil1!B6+[1]Feuil1!B15+[1]Feuil1!B18+[1]Feuil1!B38+[1]Feuil1!B43</f>
        <v>14127</v>
      </c>
      <c r="E9">
        <f>D9/D17</f>
        <v>0.35252283275939511</v>
      </c>
    </row>
    <row r="10" spans="3:5" x14ac:dyDescent="0.35">
      <c r="C10" t="s">
        <v>61</v>
      </c>
      <c r="D10">
        <v>5253</v>
      </c>
    </row>
    <row r="11" spans="3:5" x14ac:dyDescent="0.35">
      <c r="C11" t="s">
        <v>60</v>
      </c>
      <c r="D11">
        <v>4965</v>
      </c>
    </row>
    <row r="12" spans="3:5" x14ac:dyDescent="0.35">
      <c r="C12" t="s">
        <v>59</v>
      </c>
      <c r="D12">
        <v>6247</v>
      </c>
    </row>
    <row r="13" spans="3:5" x14ac:dyDescent="0.35">
      <c r="C13" t="s">
        <v>58</v>
      </c>
      <c r="D13">
        <v>2240</v>
      </c>
    </row>
    <row r="14" spans="3:5" x14ac:dyDescent="0.35">
      <c r="C14" t="s">
        <v>57</v>
      </c>
      <c r="D14">
        <v>1887</v>
      </c>
    </row>
    <row r="15" spans="3:5" x14ac:dyDescent="0.35">
      <c r="C15" t="s">
        <v>56</v>
      </c>
      <c r="D15">
        <v>2661</v>
      </c>
    </row>
    <row r="16" spans="3:5" x14ac:dyDescent="0.35">
      <c r="C16" t="s">
        <v>55</v>
      </c>
      <c r="D16">
        <v>2694</v>
      </c>
    </row>
    <row r="17" spans="3:5" x14ac:dyDescent="0.35">
      <c r="C17" s="2" t="s">
        <v>45</v>
      </c>
      <c r="D17" s="2">
        <f>SUM(D9:D16)</f>
        <v>40074</v>
      </c>
      <c r="E17" s="2"/>
    </row>
  </sheetData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61A1-04B2-46E8-8A88-E7B6BFCFAE99}">
  <dimension ref="A1:H20"/>
  <sheetViews>
    <sheetView topLeftCell="B1" zoomScale="91" zoomScaleNormal="85" workbookViewId="0">
      <selection activeCell="H22" sqref="H22"/>
    </sheetView>
  </sheetViews>
  <sheetFormatPr baseColWidth="10" defaultRowHeight="14.5" x14ac:dyDescent="0.35"/>
  <cols>
    <col min="1" max="1" width="12.54296875" customWidth="1"/>
    <col min="2" max="2" width="17" customWidth="1"/>
    <col min="3" max="3" width="14.54296875" customWidth="1"/>
    <col min="4" max="4" width="14.1796875" customWidth="1"/>
    <col min="5" max="5" width="17.1796875" customWidth="1"/>
    <col min="6" max="6" width="18" customWidth="1"/>
    <col min="7" max="7" width="16.54296875" customWidth="1"/>
  </cols>
  <sheetData>
    <row r="1" spans="1:7" x14ac:dyDescent="0.35">
      <c r="A1" s="28" t="s">
        <v>76</v>
      </c>
      <c r="B1" s="27" t="s">
        <v>75</v>
      </c>
      <c r="C1" s="24" t="s">
        <v>44</v>
      </c>
      <c r="D1" s="26" t="s">
        <v>74</v>
      </c>
      <c r="E1" s="25" t="s">
        <v>73</v>
      </c>
      <c r="F1" s="24" t="s">
        <v>72</v>
      </c>
      <c r="G1" s="23" t="s">
        <v>43</v>
      </c>
    </row>
    <row r="2" spans="1:7" x14ac:dyDescent="0.35">
      <c r="A2" s="16">
        <v>1</v>
      </c>
      <c r="B2" s="12">
        <v>120</v>
      </c>
      <c r="C2" s="15">
        <v>3</v>
      </c>
      <c r="D2" s="14">
        <f t="shared" ref="D2:D15" si="0">(B2*C2)</f>
        <v>360</v>
      </c>
      <c r="E2" s="13">
        <f t="shared" ref="E2:E15" si="1">IF(AND(D2&gt;=100,D2&lt;=999),5%, IF(D2&gt;=1000,10%,0%))</f>
        <v>0.05</v>
      </c>
      <c r="F2" s="12">
        <f t="shared" ref="F2:F15" si="2">D2*E2</f>
        <v>18</v>
      </c>
      <c r="G2" s="11">
        <f t="shared" ref="G2:G15" si="3">D2-F2</f>
        <v>342</v>
      </c>
    </row>
    <row r="3" spans="1:7" x14ac:dyDescent="0.35">
      <c r="A3" s="22">
        <v>2</v>
      </c>
      <c r="B3" s="18">
        <v>56</v>
      </c>
      <c r="C3" s="21">
        <v>5</v>
      </c>
      <c r="D3" s="20">
        <f t="shared" si="0"/>
        <v>280</v>
      </c>
      <c r="E3" s="19">
        <f t="shared" si="1"/>
        <v>0.05</v>
      </c>
      <c r="F3" s="18">
        <f t="shared" si="2"/>
        <v>14</v>
      </c>
      <c r="G3" s="17">
        <f t="shared" si="3"/>
        <v>266</v>
      </c>
    </row>
    <row r="4" spans="1:7" x14ac:dyDescent="0.35">
      <c r="A4" s="16">
        <v>3</v>
      </c>
      <c r="B4" s="12">
        <v>70</v>
      </c>
      <c r="C4" s="15">
        <v>2</v>
      </c>
      <c r="D4" s="14">
        <f t="shared" si="0"/>
        <v>140</v>
      </c>
      <c r="E4" s="13">
        <f t="shared" si="1"/>
        <v>0.05</v>
      </c>
      <c r="F4" s="12">
        <f t="shared" si="2"/>
        <v>7</v>
      </c>
      <c r="G4" s="11">
        <f t="shared" si="3"/>
        <v>133</v>
      </c>
    </row>
    <row r="5" spans="1:7" x14ac:dyDescent="0.35">
      <c r="A5" s="22">
        <v>4</v>
      </c>
      <c r="B5" s="18">
        <v>430</v>
      </c>
      <c r="C5" s="21">
        <v>7</v>
      </c>
      <c r="D5" s="20">
        <f t="shared" si="0"/>
        <v>3010</v>
      </c>
      <c r="E5" s="19">
        <f t="shared" si="1"/>
        <v>0.1</v>
      </c>
      <c r="F5" s="18">
        <f t="shared" si="2"/>
        <v>301</v>
      </c>
      <c r="G5" s="17">
        <f t="shared" si="3"/>
        <v>2709</v>
      </c>
    </row>
    <row r="6" spans="1:7" x14ac:dyDescent="0.35">
      <c r="A6" s="16">
        <v>5</v>
      </c>
      <c r="B6" s="12">
        <v>230</v>
      </c>
      <c r="C6" s="15">
        <v>23</v>
      </c>
      <c r="D6" s="14">
        <f t="shared" si="0"/>
        <v>5290</v>
      </c>
      <c r="E6" s="13">
        <f t="shared" si="1"/>
        <v>0.1</v>
      </c>
      <c r="F6" s="12">
        <f t="shared" si="2"/>
        <v>529</v>
      </c>
      <c r="G6" s="11">
        <f t="shared" si="3"/>
        <v>4761</v>
      </c>
    </row>
    <row r="7" spans="1:7" x14ac:dyDescent="0.35">
      <c r="A7" s="22">
        <v>6</v>
      </c>
      <c r="B7" s="18">
        <v>10</v>
      </c>
      <c r="C7" s="21">
        <v>2</v>
      </c>
      <c r="D7" s="20">
        <f t="shared" si="0"/>
        <v>20</v>
      </c>
      <c r="E7" s="19">
        <f t="shared" si="1"/>
        <v>0</v>
      </c>
      <c r="F7" s="18">
        <f t="shared" si="2"/>
        <v>0</v>
      </c>
      <c r="G7" s="17">
        <f t="shared" si="3"/>
        <v>20</v>
      </c>
    </row>
    <row r="8" spans="1:7" x14ac:dyDescent="0.35">
      <c r="A8" s="16">
        <v>7</v>
      </c>
      <c r="B8" s="12">
        <v>5</v>
      </c>
      <c r="C8" s="15">
        <v>8</v>
      </c>
      <c r="D8" s="14">
        <f t="shared" si="0"/>
        <v>40</v>
      </c>
      <c r="E8" s="13">
        <f t="shared" si="1"/>
        <v>0</v>
      </c>
      <c r="F8" s="12">
        <f t="shared" si="2"/>
        <v>0</v>
      </c>
      <c r="G8" s="11">
        <f t="shared" si="3"/>
        <v>40</v>
      </c>
    </row>
    <row r="9" spans="1:7" x14ac:dyDescent="0.35">
      <c r="A9" s="22">
        <v>8</v>
      </c>
      <c r="B9" s="18">
        <v>5040</v>
      </c>
      <c r="C9" s="21">
        <v>1</v>
      </c>
      <c r="D9" s="20">
        <f t="shared" si="0"/>
        <v>5040</v>
      </c>
      <c r="E9" s="19">
        <f t="shared" si="1"/>
        <v>0.1</v>
      </c>
      <c r="F9" s="18">
        <f t="shared" si="2"/>
        <v>504</v>
      </c>
      <c r="G9" s="17">
        <f t="shared" si="3"/>
        <v>4536</v>
      </c>
    </row>
    <row r="10" spans="1:7" x14ac:dyDescent="0.35">
      <c r="A10" s="16">
        <v>9</v>
      </c>
      <c r="B10" s="12">
        <v>1200</v>
      </c>
      <c r="C10" s="15">
        <v>3</v>
      </c>
      <c r="D10" s="14">
        <f t="shared" si="0"/>
        <v>3600</v>
      </c>
      <c r="E10" s="13">
        <f t="shared" si="1"/>
        <v>0.1</v>
      </c>
      <c r="F10" s="12">
        <f t="shared" si="2"/>
        <v>360</v>
      </c>
      <c r="G10" s="11">
        <f t="shared" si="3"/>
        <v>3240</v>
      </c>
    </row>
    <row r="11" spans="1:7" x14ac:dyDescent="0.35">
      <c r="A11" s="22">
        <v>10</v>
      </c>
      <c r="B11" s="18">
        <v>480</v>
      </c>
      <c r="C11" s="21">
        <v>4</v>
      </c>
      <c r="D11" s="20">
        <f t="shared" si="0"/>
        <v>1920</v>
      </c>
      <c r="E11" s="19">
        <f t="shared" si="1"/>
        <v>0.1</v>
      </c>
      <c r="F11" s="18">
        <f t="shared" si="2"/>
        <v>192</v>
      </c>
      <c r="G11" s="17">
        <f t="shared" si="3"/>
        <v>1728</v>
      </c>
    </row>
    <row r="12" spans="1:7" x14ac:dyDescent="0.35">
      <c r="A12" s="16">
        <v>11</v>
      </c>
      <c r="B12" s="12">
        <v>33</v>
      </c>
      <c r="C12" s="15">
        <v>5</v>
      </c>
      <c r="D12" s="14">
        <f t="shared" si="0"/>
        <v>165</v>
      </c>
      <c r="E12" s="13">
        <f t="shared" si="1"/>
        <v>0.05</v>
      </c>
      <c r="F12" s="12">
        <f t="shared" si="2"/>
        <v>8.25</v>
      </c>
      <c r="G12" s="11">
        <f t="shared" si="3"/>
        <v>156.75</v>
      </c>
    </row>
    <row r="13" spans="1:7" x14ac:dyDescent="0.35">
      <c r="A13" s="22">
        <v>12</v>
      </c>
      <c r="B13" s="18">
        <v>1200</v>
      </c>
      <c r="C13" s="21">
        <v>2</v>
      </c>
      <c r="D13" s="20">
        <f t="shared" si="0"/>
        <v>2400</v>
      </c>
      <c r="E13" s="19">
        <f t="shared" si="1"/>
        <v>0.1</v>
      </c>
      <c r="F13" s="18">
        <f t="shared" si="2"/>
        <v>240</v>
      </c>
      <c r="G13" s="17">
        <f t="shared" si="3"/>
        <v>2160</v>
      </c>
    </row>
    <row r="14" spans="1:7" x14ac:dyDescent="0.35">
      <c r="A14" s="16">
        <v>13</v>
      </c>
      <c r="B14" s="12">
        <v>15</v>
      </c>
      <c r="C14" s="15">
        <v>10</v>
      </c>
      <c r="D14" s="14">
        <f t="shared" si="0"/>
        <v>150</v>
      </c>
      <c r="E14" s="13">
        <f t="shared" si="1"/>
        <v>0.05</v>
      </c>
      <c r="F14" s="12">
        <f t="shared" si="2"/>
        <v>7.5</v>
      </c>
      <c r="G14" s="11">
        <f t="shared" si="3"/>
        <v>142.5</v>
      </c>
    </row>
    <row r="15" spans="1:7" ht="15" thickBot="1" x14ac:dyDescent="0.4">
      <c r="A15" s="10">
        <v>14</v>
      </c>
      <c r="B15" s="6">
        <v>24</v>
      </c>
      <c r="C15" s="9">
        <v>5</v>
      </c>
      <c r="D15" s="8">
        <f t="shared" si="0"/>
        <v>120</v>
      </c>
      <c r="E15" s="7">
        <f t="shared" si="1"/>
        <v>0.05</v>
      </c>
      <c r="F15" s="6">
        <f t="shared" si="2"/>
        <v>6</v>
      </c>
      <c r="G15" s="5">
        <f t="shared" si="3"/>
        <v>114</v>
      </c>
    </row>
    <row r="17" spans="5:8" x14ac:dyDescent="0.35">
      <c r="E17" s="30" t="s">
        <v>71</v>
      </c>
      <c r="F17" s="29">
        <f>SUM(G2,G15)</f>
        <v>456</v>
      </c>
    </row>
    <row r="18" spans="5:8" x14ac:dyDescent="0.35">
      <c r="E18" s="30" t="s">
        <v>70</v>
      </c>
      <c r="F18" s="33">
        <v>0.19</v>
      </c>
    </row>
    <row r="19" spans="5:8" x14ac:dyDescent="0.35">
      <c r="E19" s="30" t="s">
        <v>69</v>
      </c>
      <c r="F19" s="29">
        <f>F17*F18</f>
        <v>86.64</v>
      </c>
      <c r="H19" s="4"/>
    </row>
    <row r="20" spans="5:8" x14ac:dyDescent="0.35">
      <c r="E20" s="32" t="s">
        <v>68</v>
      </c>
      <c r="F20" s="31">
        <f>F17*F19</f>
        <v>39507.840000000004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8595-3D90-4EE0-A562-8CF42B9F2EAD}">
  <dimension ref="C5:E15"/>
  <sheetViews>
    <sheetView tabSelected="1" topLeftCell="A15" workbookViewId="0">
      <selection activeCell="A6" sqref="A6"/>
    </sheetView>
  </sheetViews>
  <sheetFormatPr baseColWidth="10" defaultRowHeight="14.5" x14ac:dyDescent="0.35"/>
  <cols>
    <col min="3" max="3" width="14.26953125" customWidth="1"/>
    <col min="4" max="4" width="14.7265625" customWidth="1"/>
    <col min="5" max="6" width="14.26953125" customWidth="1"/>
  </cols>
  <sheetData>
    <row r="5" spans="3:5" x14ac:dyDescent="0.35">
      <c r="C5" s="1" t="s">
        <v>67</v>
      </c>
      <c r="D5" s="1" t="s">
        <v>66</v>
      </c>
      <c r="E5" s="1" t="s">
        <v>65</v>
      </c>
    </row>
    <row r="6" spans="3:5" x14ac:dyDescent="0.35">
      <c r="C6" s="1">
        <v>1</v>
      </c>
      <c r="D6" s="1">
        <v>5</v>
      </c>
      <c r="E6" s="1">
        <v>5</v>
      </c>
    </row>
    <row r="7" spans="3:5" x14ac:dyDescent="0.35">
      <c r="C7" s="1">
        <v>2</v>
      </c>
      <c r="D7" s="1">
        <v>10</v>
      </c>
      <c r="E7" s="1">
        <v>5</v>
      </c>
    </row>
    <row r="8" spans="3:5" x14ac:dyDescent="0.35">
      <c r="C8" s="1">
        <v>3</v>
      </c>
      <c r="D8" s="1">
        <v>17</v>
      </c>
      <c r="E8" s="1">
        <v>5.6666666670000003</v>
      </c>
    </row>
    <row r="9" spans="3:5" x14ac:dyDescent="0.35">
      <c r="C9" s="1">
        <v>4</v>
      </c>
      <c r="D9" s="1">
        <v>27</v>
      </c>
      <c r="E9" s="1">
        <v>6.75</v>
      </c>
    </row>
    <row r="10" spans="3:5" x14ac:dyDescent="0.35">
      <c r="C10" s="1">
        <v>5</v>
      </c>
      <c r="D10" s="1">
        <v>37</v>
      </c>
      <c r="E10" s="1">
        <v>7.4</v>
      </c>
    </row>
    <row r="11" spans="3:5" x14ac:dyDescent="0.35">
      <c r="C11" s="1">
        <v>6</v>
      </c>
      <c r="D11" s="1">
        <v>49</v>
      </c>
      <c r="E11" s="1">
        <v>8.1666666669999994</v>
      </c>
    </row>
    <row r="12" spans="3:5" x14ac:dyDescent="0.35">
      <c r="C12" s="1">
        <v>7</v>
      </c>
      <c r="D12" s="1">
        <v>63</v>
      </c>
      <c r="E12" s="1">
        <v>9</v>
      </c>
    </row>
    <row r="13" spans="3:5" x14ac:dyDescent="0.35">
      <c r="C13" s="1">
        <v>8</v>
      </c>
      <c r="D13" s="1">
        <v>75</v>
      </c>
      <c r="E13" s="1">
        <v>9.375</v>
      </c>
    </row>
    <row r="14" spans="3:5" x14ac:dyDescent="0.35">
      <c r="C14" s="1">
        <v>9</v>
      </c>
      <c r="D14" s="1">
        <v>83</v>
      </c>
      <c r="E14" s="1">
        <v>9.2222222219999992</v>
      </c>
    </row>
    <row r="15" spans="3:5" x14ac:dyDescent="0.35">
      <c r="C15" s="1">
        <v>10</v>
      </c>
      <c r="D15" s="1">
        <v>91</v>
      </c>
      <c r="E15" s="1">
        <v>9.1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6A3A-946F-460E-80E9-1C54F7C46745}">
  <dimension ref="B3:C13"/>
  <sheetViews>
    <sheetView topLeftCell="A7" workbookViewId="0">
      <selection activeCell="E12" sqref="E12"/>
    </sheetView>
  </sheetViews>
  <sheetFormatPr baseColWidth="10" defaultRowHeight="14.5" x14ac:dyDescent="0.35"/>
  <sheetData>
    <row r="3" spans="2:3" x14ac:dyDescent="0.35">
      <c r="B3" s="1" t="s">
        <v>67</v>
      </c>
      <c r="C3" s="1" t="s">
        <v>65</v>
      </c>
    </row>
    <row r="4" spans="2:3" x14ac:dyDescent="0.35">
      <c r="B4" s="1">
        <v>1</v>
      </c>
      <c r="C4" s="1">
        <v>5</v>
      </c>
    </row>
    <row r="5" spans="2:3" x14ac:dyDescent="0.35">
      <c r="B5" s="1">
        <v>2</v>
      </c>
      <c r="C5" s="1">
        <v>5</v>
      </c>
    </row>
    <row r="6" spans="2:3" x14ac:dyDescent="0.35">
      <c r="B6" s="1">
        <v>3</v>
      </c>
      <c r="C6" s="1">
        <v>5.6666666670000003</v>
      </c>
    </row>
    <row r="7" spans="2:3" x14ac:dyDescent="0.35">
      <c r="B7" s="1">
        <v>4</v>
      </c>
      <c r="C7" s="1">
        <v>6.75</v>
      </c>
    </row>
    <row r="8" spans="2:3" x14ac:dyDescent="0.35">
      <c r="B8" s="1">
        <v>5</v>
      </c>
      <c r="C8" s="1">
        <v>7.4</v>
      </c>
    </row>
    <row r="9" spans="2:3" x14ac:dyDescent="0.35">
      <c r="B9" s="1">
        <v>6</v>
      </c>
      <c r="C9" s="1">
        <v>8.1666666669999994</v>
      </c>
    </row>
    <row r="10" spans="2:3" x14ac:dyDescent="0.35">
      <c r="B10" s="1">
        <v>7</v>
      </c>
      <c r="C10" s="1">
        <v>9</v>
      </c>
    </row>
    <row r="11" spans="2:3" x14ac:dyDescent="0.35">
      <c r="B11" s="1">
        <v>8</v>
      </c>
      <c r="C11" s="1">
        <v>9.375</v>
      </c>
    </row>
    <row r="12" spans="2:3" x14ac:dyDescent="0.35">
      <c r="B12" s="1">
        <v>9</v>
      </c>
      <c r="C12" s="1">
        <v>9.2222222219999992</v>
      </c>
    </row>
    <row r="13" spans="2:3" x14ac:dyDescent="0.35">
      <c r="B13" s="1">
        <v>10</v>
      </c>
      <c r="C13" s="1">
        <v>9.1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Feuil4 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 Bouhadi</dc:creator>
  <cp:lastModifiedBy>israaguendouz208@gmail.com</cp:lastModifiedBy>
  <dcterms:created xsi:type="dcterms:W3CDTF">2025-12-25T00:00:22Z</dcterms:created>
  <dcterms:modified xsi:type="dcterms:W3CDTF">2025-12-29T14:26:20Z</dcterms:modified>
</cp:coreProperties>
</file>