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40" yWindow="1140" windowWidth="14400" windowHeight="7272"/>
  </bookViews>
  <sheets>
    <sheet name="Feuil1" sheetId="1" r:id="rId1"/>
    <sheet name="Feuil2" sheetId="3" r:id="rId2"/>
    <sheet name="Feuil3" sheetId="4" r:id="rId3"/>
    <sheet name="Feuil4" sheetId="2" r:id="rId4"/>
    <sheet name="Feuil5" sheetId="5" r:id="rId5"/>
    <sheet name="Feuil6" sheetId="6" r:id="rId6"/>
  </sheets>
  <externalReferences>
    <externalReference r:id="rId7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4" l="1"/>
  <c r="D13" i="3"/>
  <c r="E13" i="3"/>
  <c r="E5" i="2"/>
  <c r="G5" i="2" s="1"/>
  <c r="E6" i="2"/>
  <c r="G6" i="2" s="1"/>
  <c r="E7" i="2"/>
  <c r="E8" i="2"/>
  <c r="E9" i="2"/>
  <c r="G9" i="2" s="1"/>
  <c r="H9" i="2" s="1"/>
  <c r="E10" i="2"/>
  <c r="G10" i="2" s="1"/>
  <c r="E11" i="2"/>
  <c r="G11" i="2" s="1"/>
  <c r="E12" i="2"/>
  <c r="G12" i="2" s="1"/>
  <c r="H12" i="2" s="1"/>
  <c r="E13" i="2"/>
  <c r="G13" i="2"/>
  <c r="H13" i="2"/>
  <c r="E14" i="2"/>
  <c r="G14" i="2" s="1"/>
  <c r="E15" i="2"/>
  <c r="H15" i="2" s="1"/>
  <c r="G15" i="2"/>
  <c r="E16" i="2"/>
  <c r="G16" i="2"/>
  <c r="H16" i="2"/>
  <c r="E17" i="2"/>
  <c r="G17" i="2"/>
  <c r="H17" i="2"/>
  <c r="E18" i="2"/>
  <c r="G18" i="2" s="1"/>
  <c r="D17" i="4" l="1"/>
  <c r="E9" i="4" s="1"/>
  <c r="G7" i="2"/>
  <c r="H7" i="2" s="1"/>
  <c r="H6" i="2"/>
  <c r="H14" i="2"/>
  <c r="H11" i="2"/>
  <c r="G8" i="2"/>
  <c r="H8" i="2" s="1"/>
  <c r="H5" i="2"/>
  <c r="H18" i="2"/>
  <c r="H10" i="2"/>
  <c r="H21" i="2" l="1"/>
  <c r="H23" i="2" s="1"/>
  <c r="H24" i="2" s="1"/>
</calcChain>
</file>

<file path=xl/sharedStrings.xml><?xml version="1.0" encoding="utf-8"?>
<sst xmlns="http://schemas.openxmlformats.org/spreadsheetml/2006/main" count="124" uniqueCount="41">
  <si>
    <t>Ivy League Applicants</t>
  </si>
  <si>
    <t>students</t>
  </si>
  <si>
    <t xml:space="preserve">TTC: </t>
  </si>
  <si>
    <t xml:space="preserve">Val TVA </t>
  </si>
  <si>
    <t xml:space="preserve">TVA: </t>
  </si>
  <si>
    <t xml:space="preserve">Total facture: </t>
  </si>
  <si>
    <t>Total a payer</t>
  </si>
  <si>
    <t xml:space="preserve">Val Remise </t>
  </si>
  <si>
    <t xml:space="preserve">Remise </t>
  </si>
  <si>
    <t xml:space="preserve"> PT </t>
  </si>
  <si>
    <t>QTE</t>
  </si>
  <si>
    <t xml:space="preserve">PU </t>
  </si>
  <si>
    <t xml:space="preserve">ID </t>
  </si>
  <si>
    <t>Remise = 5% if PT in [100-999] or 10% if PT &gt;=1000 DZD</t>
  </si>
  <si>
    <t>Total général</t>
  </si>
  <si>
    <t>Psychology</t>
  </si>
  <si>
    <t>Physics</t>
  </si>
  <si>
    <t>Mathematics</t>
  </si>
  <si>
    <t>Economics</t>
  </si>
  <si>
    <t>Arts</t>
  </si>
  <si>
    <t>Moyenne de Students2</t>
  </si>
  <si>
    <t xml:space="preserve">Somme de Students </t>
  </si>
  <si>
    <t>Étiquettes de lignes</t>
  </si>
  <si>
    <t>Table1:</t>
  </si>
  <si>
    <t>Yale</t>
  </si>
  <si>
    <t>Princeton</t>
  </si>
  <si>
    <t>Penn State</t>
  </si>
  <si>
    <t>Harverd</t>
  </si>
  <si>
    <t>Dartmouth</t>
  </si>
  <si>
    <t>Cornell</t>
  </si>
  <si>
    <t>Colombia</t>
  </si>
  <si>
    <t>Brown</t>
  </si>
  <si>
    <t xml:space="preserve">Étiquettes de lignes </t>
  </si>
  <si>
    <t>Table2:</t>
  </si>
  <si>
    <t>Speed (m/s)</t>
  </si>
  <si>
    <t xml:space="preserve">Distance (m) </t>
  </si>
  <si>
    <t xml:space="preserve">Time(s) </t>
  </si>
  <si>
    <t>Faculty</t>
  </si>
  <si>
    <t>Univercity</t>
  </si>
  <si>
    <t>Harvard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</si>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</sst>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DZD]"/>
  </numFmts>
  <fonts count="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63A4F7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right"/>
    </xf>
    <xf numFmtId="9" fontId="0" fillId="0" borderId="2" xfId="1" applyFont="1" applyBorder="1"/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[$DZD]"/>
      <alignment horizontal="right" vertical="bottom" textRotation="0" wrapText="0" indent="0" justifyLastLine="0" shrinkToFit="0" readingOrder="0"/>
    </dxf>
    <dxf>
      <numFmt numFmtId="164" formatCode="#,##0.00\ [$DZD]"/>
      <alignment horizontal="right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4" formatCode="#,##0.00\ [$DZD]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[$DZD]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63A4F7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 /time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Feuil5!$E$5</c:f>
              <c:strCache>
                <c:ptCount val="1"/>
                <c:pt idx="0">
                  <c:v>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Feuil5!$D$6:$D$15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Feuil5!$E$6:$E$15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5.6666666670000003</c:v>
                </c:pt>
                <c:pt idx="3">
                  <c:v>6.75</c:v>
                </c:pt>
                <c:pt idx="4">
                  <c:v>7.4</c:v>
                </c:pt>
                <c:pt idx="5">
                  <c:v>8.1666666669999994</c:v>
                </c:pt>
                <c:pt idx="6">
                  <c:v>9</c:v>
                </c:pt>
                <c:pt idx="7">
                  <c:v>9.375</c:v>
                </c:pt>
                <c:pt idx="8">
                  <c:v>9.2222222219999992</c:v>
                </c:pt>
                <c:pt idx="9">
                  <c:v>9.1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FCA-425E-81B2-F4424D4B7433}"/>
            </c:ext>
          </c:extLst>
        </c:ser>
        <c:ser>
          <c:idx val="1"/>
          <c:order val="1"/>
          <c:tx>
            <c:strRef>
              <c:f>Feuil5!$D$5</c:f>
              <c:strCache>
                <c:ptCount val="1"/>
                <c:pt idx="0">
                  <c:v>Distance (m)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FCA-425E-81B2-F4424D4B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05664"/>
        <c:axId val="187515648"/>
      </c:lineChart>
      <c:catAx>
        <c:axId val="1875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5648"/>
        <c:crosses val="autoZero"/>
        <c:auto val="1"/>
        <c:lblAlgn val="ctr"/>
        <c:lblOffset val="100"/>
        <c:noMultiLvlLbl val="0"/>
      </c:catAx>
      <c:valAx>
        <c:axId val="18751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 /distance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Feuil6!$C$3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Feuil6!$B$4:$B$13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Feuil6!$C$4:$C$13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5.6666666670000003</c:v>
                </c:pt>
                <c:pt idx="3">
                  <c:v>6.75</c:v>
                </c:pt>
                <c:pt idx="4">
                  <c:v>7.4</c:v>
                </c:pt>
                <c:pt idx="5">
                  <c:v>8.1666666669999994</c:v>
                </c:pt>
                <c:pt idx="6">
                  <c:v>9</c:v>
                </c:pt>
                <c:pt idx="7">
                  <c:v>9.375</c:v>
                </c:pt>
                <c:pt idx="8">
                  <c:v>9.2222222219999992</c:v>
                </c:pt>
                <c:pt idx="9">
                  <c:v>9.1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5A6-49CC-B479-7FB8026C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62560"/>
        <c:axId val="187764096"/>
      </c:lineChart>
      <c:catAx>
        <c:axId val="1877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096"/>
        <c:crosses val="autoZero"/>
        <c:auto val="1"/>
        <c:lblAlgn val="ctr"/>
        <c:lblOffset val="100"/>
        <c:noMultiLvlLbl val="0"/>
      </c:catAx>
      <c:valAx>
        <c:axId val="1877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18</xdr:row>
      <xdr:rowOff>176212</xdr:rowOff>
    </xdr:from>
    <xdr:to>
      <xdr:col>7</xdr:col>
      <xdr:colOff>333375</xdr:colOff>
      <xdr:row>33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CE2679F7-D5A0-493D-8F4A-197D58984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185737</xdr:rowOff>
    </xdr:from>
    <xdr:to>
      <xdr:col>7</xdr:col>
      <xdr:colOff>47625</xdr:colOff>
      <xdr:row>29</xdr:row>
      <xdr:rowOff>114301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D9675E81-8BBE-480D-A18E-7C73F82BB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a723f945bcce2b5/final%20project/ISR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6">
          <cell r="B6">
            <v>9567</v>
          </cell>
        </row>
        <row r="15">
          <cell r="B15">
            <v>1579</v>
          </cell>
        </row>
        <row r="18">
          <cell r="B18">
            <v>972</v>
          </cell>
        </row>
        <row r="38">
          <cell r="B38">
            <v>1358</v>
          </cell>
        </row>
        <row r="43">
          <cell r="B43">
            <v>651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au1" displayName="Tableau1" ref="A2:C42" totalsRowShown="0" headerRowDxfId="19">
  <autoFilter ref="A2:C42"/>
  <tableColumns count="3">
    <tableColumn id="1" name="students" dataDxfId="18"/>
    <tableColumn id="2" name="Faculty"/>
    <tableColumn id="3" name="Univercity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au6" displayName="Tableau6" ref="B4:H18" totalsRowShown="0" headerRowDxfId="17" dataDxfId="16">
  <autoFilter ref="B4:H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D " dataDxfId="15"/>
    <tableColumn id="2" name="PU " dataDxfId="14"/>
    <tableColumn id="3" name="QTE" dataDxfId="13"/>
    <tableColumn id="4" name=" PT " dataDxfId="12">
      <calculatedColumnFormula>+C5*D5</calculatedColumnFormula>
    </tableColumn>
    <tableColumn id="5" name="Remise " dataDxfId="11"/>
    <tableColumn id="6" name="Val Remise " dataDxfId="10">
      <calculatedColumnFormula>+E5*F5</calculatedColumnFormula>
    </tableColumn>
    <tableColumn id="7" name="Total a payer" dataDxfId="9">
      <calculatedColumnFormula>+E5-G5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8" displayName="Tableau8" ref="C5:E15" totalsRowShown="0" headerRowDxfId="8" dataDxfId="7">
  <autoFilter ref="C5:E15">
    <filterColumn colId="0" hiddenButton="1"/>
    <filterColumn colId="1" hiddenButton="1"/>
    <filterColumn colId="2" hiddenButton="1"/>
  </autoFilter>
  <tableColumns count="3">
    <tableColumn id="1" name="Time(s) " dataDxfId="6"/>
    <tableColumn id="2" name="Distance (m) " dataDxfId="5"/>
    <tableColumn id="3" name="Speed (m/s)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au811" displayName="Tableau811" ref="B3:C13" totalsRowShown="0" headerRowDxfId="3" dataDxfId="2">
  <autoFilter ref="B3:C13"/>
  <tableColumns count="2">
    <tableColumn id="1" name="Time(s) " dataDxfId="1"/>
    <tableColumn id="3" name="Speed (m/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zoomScale="85" zoomScaleNormal="85" workbookViewId="0">
      <selection activeCell="J5" sqref="J5"/>
    </sheetView>
  </sheetViews>
  <sheetFormatPr baseColWidth="10" defaultRowHeight="14.4" x14ac:dyDescent="0.3"/>
  <cols>
    <col min="1" max="1" width="16.33203125" customWidth="1"/>
    <col min="2" max="2" width="24.88671875" customWidth="1"/>
  </cols>
  <sheetData>
    <row r="1" spans="1:3" ht="24" thickBot="1" x14ac:dyDescent="0.6">
      <c r="A1" s="10" t="s">
        <v>0</v>
      </c>
      <c r="B1" s="10"/>
    </row>
    <row r="2" spans="1:3" ht="15" thickTop="1" x14ac:dyDescent="0.35">
      <c r="A2" s="1" t="s">
        <v>1</v>
      </c>
      <c r="B2" s="1" t="s">
        <v>37</v>
      </c>
      <c r="C2" s="1" t="s">
        <v>38</v>
      </c>
    </row>
    <row r="3" spans="1:3" ht="14.55" x14ac:dyDescent="0.35">
      <c r="A3" s="1">
        <v>591</v>
      </c>
      <c r="B3" t="s">
        <v>19</v>
      </c>
      <c r="C3" t="s">
        <v>24</v>
      </c>
    </row>
    <row r="4" spans="1:3" ht="14.55" x14ac:dyDescent="0.35">
      <c r="A4" s="1">
        <v>9567</v>
      </c>
      <c r="B4" t="s">
        <v>16</v>
      </c>
      <c r="C4" t="s">
        <v>31</v>
      </c>
    </row>
    <row r="5" spans="1:3" ht="14.55" x14ac:dyDescent="0.35">
      <c r="A5" s="1">
        <v>542</v>
      </c>
      <c r="B5" t="s">
        <v>18</v>
      </c>
      <c r="C5" t="s">
        <v>28</v>
      </c>
    </row>
    <row r="6" spans="1:3" ht="14.55" x14ac:dyDescent="0.35">
      <c r="A6" s="1">
        <v>346</v>
      </c>
      <c r="B6" t="s">
        <v>18</v>
      </c>
      <c r="C6" t="s">
        <v>39</v>
      </c>
    </row>
    <row r="7" spans="1:3" ht="14.55" x14ac:dyDescent="0.35">
      <c r="A7" s="1">
        <v>849</v>
      </c>
      <c r="B7" t="s">
        <v>19</v>
      </c>
      <c r="C7" t="s">
        <v>40</v>
      </c>
    </row>
    <row r="8" spans="1:3" ht="14.55" x14ac:dyDescent="0.35">
      <c r="A8" s="1">
        <v>552</v>
      </c>
      <c r="B8" t="s">
        <v>18</v>
      </c>
      <c r="C8" t="s">
        <v>29</v>
      </c>
    </row>
    <row r="9" spans="1:3" ht="14.55" x14ac:dyDescent="0.35">
      <c r="A9" s="1">
        <v>173</v>
      </c>
      <c r="B9" t="s">
        <v>19</v>
      </c>
      <c r="C9" t="s">
        <v>39</v>
      </c>
    </row>
    <row r="10" spans="1:3" ht="14.55" x14ac:dyDescent="0.35">
      <c r="A10" s="1">
        <v>1355</v>
      </c>
      <c r="B10" t="s">
        <v>19</v>
      </c>
      <c r="C10" t="s">
        <v>29</v>
      </c>
    </row>
    <row r="11" spans="1:3" ht="14.55" x14ac:dyDescent="0.35">
      <c r="A11" s="1">
        <v>193</v>
      </c>
      <c r="B11" t="s">
        <v>17</v>
      </c>
      <c r="C11" t="s">
        <v>25</v>
      </c>
    </row>
    <row r="12" spans="1:3" ht="14.55" x14ac:dyDescent="0.35">
      <c r="A12" s="1">
        <v>615</v>
      </c>
      <c r="B12" t="s">
        <v>17</v>
      </c>
      <c r="C12" t="s">
        <v>39</v>
      </c>
    </row>
    <row r="13" spans="1:3" ht="14.55" x14ac:dyDescent="0.35">
      <c r="A13" s="1">
        <v>1579</v>
      </c>
      <c r="B13" t="s">
        <v>17</v>
      </c>
      <c r="C13" t="s">
        <v>31</v>
      </c>
    </row>
    <row r="14" spans="1:3" ht="14.55" x14ac:dyDescent="0.35">
      <c r="A14" s="1">
        <v>547</v>
      </c>
      <c r="B14" t="s">
        <v>16</v>
      </c>
      <c r="C14" t="s">
        <v>28</v>
      </c>
    </row>
    <row r="15" spans="1:3" ht="14.55" x14ac:dyDescent="0.35">
      <c r="A15" s="1">
        <v>1687</v>
      </c>
      <c r="B15" t="s">
        <v>15</v>
      </c>
      <c r="C15" t="s">
        <v>28</v>
      </c>
    </row>
    <row r="16" spans="1:3" ht="14.55" x14ac:dyDescent="0.35">
      <c r="A16" s="1">
        <v>972</v>
      </c>
      <c r="B16" t="s">
        <v>18</v>
      </c>
      <c r="C16" t="s">
        <v>31</v>
      </c>
    </row>
    <row r="17" spans="1:3" ht="14.55" x14ac:dyDescent="0.35">
      <c r="A17" s="1">
        <v>234</v>
      </c>
      <c r="B17" t="s">
        <v>18</v>
      </c>
      <c r="C17" t="s">
        <v>26</v>
      </c>
    </row>
    <row r="18" spans="1:3" ht="14.55" x14ac:dyDescent="0.35">
      <c r="A18" s="1">
        <v>151</v>
      </c>
      <c r="B18" t="s">
        <v>15</v>
      </c>
      <c r="C18" t="s">
        <v>25</v>
      </c>
    </row>
    <row r="19" spans="1:3" ht="14.55" x14ac:dyDescent="0.35">
      <c r="A19" s="1">
        <v>1793</v>
      </c>
      <c r="B19" t="s">
        <v>16</v>
      </c>
      <c r="C19" t="s">
        <v>40</v>
      </c>
    </row>
    <row r="20" spans="1:3" ht="14.55" x14ac:dyDescent="0.35">
      <c r="A20" s="1">
        <v>315</v>
      </c>
      <c r="B20" t="s">
        <v>15</v>
      </c>
      <c r="C20" t="s">
        <v>40</v>
      </c>
    </row>
    <row r="21" spans="1:3" ht="14.55" x14ac:dyDescent="0.35">
      <c r="A21" s="1">
        <v>618</v>
      </c>
      <c r="B21" t="s">
        <v>16</v>
      </c>
      <c r="C21" t="s">
        <v>29</v>
      </c>
    </row>
    <row r="22" spans="1:3" ht="14.55" x14ac:dyDescent="0.35">
      <c r="A22" s="1">
        <v>246</v>
      </c>
      <c r="B22" t="s">
        <v>16</v>
      </c>
      <c r="C22" t="s">
        <v>24</v>
      </c>
    </row>
    <row r="23" spans="1:3" ht="14.55" x14ac:dyDescent="0.35">
      <c r="A23" s="1">
        <v>784</v>
      </c>
      <c r="B23" t="s">
        <v>16</v>
      </c>
      <c r="C23" t="s">
        <v>25</v>
      </c>
    </row>
    <row r="24" spans="1:3" ht="14.55" x14ac:dyDescent="0.35">
      <c r="A24" s="1">
        <v>316</v>
      </c>
      <c r="B24" t="s">
        <v>17</v>
      </c>
      <c r="C24" t="s">
        <v>28</v>
      </c>
    </row>
    <row r="25" spans="1:3" ht="14.55" x14ac:dyDescent="0.35">
      <c r="A25" s="1">
        <v>3155</v>
      </c>
      <c r="B25" t="s">
        <v>19</v>
      </c>
      <c r="C25" t="s">
        <v>28</v>
      </c>
    </row>
    <row r="26" spans="1:3" ht="14.55" x14ac:dyDescent="0.35">
      <c r="A26" s="1">
        <v>318</v>
      </c>
      <c r="B26" t="s">
        <v>15</v>
      </c>
      <c r="C26" t="s">
        <v>26</v>
      </c>
    </row>
    <row r="27" spans="1:3" ht="14.55" x14ac:dyDescent="0.35">
      <c r="A27" s="1">
        <v>608</v>
      </c>
      <c r="B27" t="s">
        <v>18</v>
      </c>
      <c r="C27" t="s">
        <v>40</v>
      </c>
    </row>
    <row r="28" spans="1:3" ht="14.55" x14ac:dyDescent="0.35">
      <c r="A28" s="1">
        <v>561</v>
      </c>
      <c r="B28" t="s">
        <v>19</v>
      </c>
      <c r="C28" t="s">
        <v>25</v>
      </c>
    </row>
    <row r="29" spans="1:3" ht="14.55" x14ac:dyDescent="0.35">
      <c r="A29" s="1">
        <v>357</v>
      </c>
      <c r="B29" t="s">
        <v>15</v>
      </c>
      <c r="C29" t="s">
        <v>24</v>
      </c>
    </row>
    <row r="30" spans="1:3" x14ac:dyDescent="0.3">
      <c r="A30" s="1">
        <v>1688</v>
      </c>
      <c r="B30" t="s">
        <v>17</v>
      </c>
      <c r="C30" t="s">
        <v>40</v>
      </c>
    </row>
    <row r="31" spans="1:3" x14ac:dyDescent="0.3">
      <c r="A31" s="1">
        <v>972</v>
      </c>
      <c r="B31" t="s">
        <v>18</v>
      </c>
      <c r="C31" t="s">
        <v>25</v>
      </c>
    </row>
    <row r="32" spans="1:3" x14ac:dyDescent="0.3">
      <c r="A32" s="1">
        <v>568</v>
      </c>
      <c r="B32" t="s">
        <v>16</v>
      </c>
      <c r="C32" t="s">
        <v>26</v>
      </c>
    </row>
    <row r="33" spans="1:3" x14ac:dyDescent="0.3">
      <c r="A33" s="1">
        <v>632</v>
      </c>
      <c r="B33" t="s">
        <v>17</v>
      </c>
      <c r="C33" t="s">
        <v>26</v>
      </c>
    </row>
    <row r="34" spans="1:3" x14ac:dyDescent="0.3">
      <c r="A34" s="1">
        <v>551</v>
      </c>
      <c r="B34" t="s">
        <v>15</v>
      </c>
      <c r="C34" t="s">
        <v>29</v>
      </c>
    </row>
    <row r="35" spans="1:3" x14ac:dyDescent="0.3">
      <c r="A35" s="1">
        <v>948</v>
      </c>
      <c r="B35" t="s">
        <v>16</v>
      </c>
      <c r="C35" t="s">
        <v>39</v>
      </c>
    </row>
    <row r="36" spans="1:3" x14ac:dyDescent="0.3">
      <c r="A36" s="1">
        <v>1358</v>
      </c>
      <c r="B36" t="s">
        <v>19</v>
      </c>
      <c r="C36" t="s">
        <v>31</v>
      </c>
    </row>
    <row r="37" spans="1:3" x14ac:dyDescent="0.3">
      <c r="A37" s="1">
        <v>135</v>
      </c>
      <c r="B37" t="s">
        <v>19</v>
      </c>
      <c r="C37" t="s">
        <v>26</v>
      </c>
    </row>
    <row r="38" spans="1:3" x14ac:dyDescent="0.3">
      <c r="A38" s="1">
        <v>849</v>
      </c>
      <c r="B38" t="s">
        <v>17</v>
      </c>
      <c r="C38" t="s">
        <v>24</v>
      </c>
    </row>
    <row r="39" spans="1:3" x14ac:dyDescent="0.3">
      <c r="A39" s="1">
        <v>158</v>
      </c>
      <c r="B39" t="s">
        <v>15</v>
      </c>
      <c r="C39" t="s">
        <v>39</v>
      </c>
    </row>
    <row r="40" spans="1:3" x14ac:dyDescent="0.3">
      <c r="A40" s="1">
        <v>1889</v>
      </c>
      <c r="B40" t="s">
        <v>17</v>
      </c>
      <c r="C40" t="s">
        <v>29</v>
      </c>
    </row>
    <row r="41" spans="1:3" x14ac:dyDescent="0.3">
      <c r="A41" s="1">
        <v>651</v>
      </c>
      <c r="B41" t="s">
        <v>15</v>
      </c>
      <c r="C41" t="s">
        <v>31</v>
      </c>
    </row>
    <row r="42" spans="1:3" x14ac:dyDescent="0.3">
      <c r="A42" s="1">
        <v>651</v>
      </c>
      <c r="B42" t="s">
        <v>18</v>
      </c>
      <c r="C42" t="s">
        <v>24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13"/>
  <sheetViews>
    <sheetView zoomScaleNormal="100" workbookViewId="0">
      <selection activeCell="D13" sqref="D13"/>
    </sheetView>
  </sheetViews>
  <sheetFormatPr baseColWidth="10" defaultRowHeight="14.4" x14ac:dyDescent="0.3"/>
  <cols>
    <col min="3" max="3" width="25.21875" customWidth="1"/>
    <col min="4" max="4" width="24.44140625" customWidth="1"/>
    <col min="5" max="5" width="23.5546875" customWidth="1"/>
  </cols>
  <sheetData>
    <row r="4" spans="3:5" ht="14.55" x14ac:dyDescent="0.35">
      <c r="C4" t="s">
        <v>23</v>
      </c>
    </row>
    <row r="7" spans="3:5" x14ac:dyDescent="0.3">
      <c r="C7" s="9" t="s">
        <v>22</v>
      </c>
      <c r="D7" s="9" t="s">
        <v>21</v>
      </c>
      <c r="E7" s="9" t="s">
        <v>20</v>
      </c>
    </row>
    <row r="8" spans="3:5" ht="14.55" x14ac:dyDescent="0.35">
      <c r="C8" t="s">
        <v>19</v>
      </c>
      <c r="D8" s="1">
        <v>8177</v>
      </c>
      <c r="E8">
        <v>1022.125</v>
      </c>
    </row>
    <row r="9" spans="3:5" ht="14.55" x14ac:dyDescent="0.35">
      <c r="C9" t="s">
        <v>18</v>
      </c>
      <c r="D9" s="1">
        <v>4877</v>
      </c>
      <c r="E9">
        <v>609.625</v>
      </c>
    </row>
    <row r="10" spans="3:5" ht="14.55" x14ac:dyDescent="0.35">
      <c r="C10" t="s">
        <v>17</v>
      </c>
      <c r="D10" s="1">
        <v>7761</v>
      </c>
      <c r="E10">
        <v>970.125</v>
      </c>
    </row>
    <row r="11" spans="3:5" ht="14.55" x14ac:dyDescent="0.35">
      <c r="C11" t="s">
        <v>16</v>
      </c>
      <c r="D11" s="1">
        <v>15071</v>
      </c>
      <c r="E11">
        <v>1883.875</v>
      </c>
    </row>
    <row r="12" spans="3:5" ht="14.55" x14ac:dyDescent="0.35">
      <c r="C12" t="s">
        <v>15</v>
      </c>
      <c r="D12" s="1">
        <v>4188</v>
      </c>
      <c r="E12">
        <v>523.5</v>
      </c>
    </row>
    <row r="13" spans="3:5" x14ac:dyDescent="0.3">
      <c r="C13" s="8" t="s">
        <v>14</v>
      </c>
      <c r="D13" s="9">
        <f>SUM(D8:D12)</f>
        <v>40074</v>
      </c>
      <c r="E13" s="8">
        <f>SUM(E8:E12)</f>
        <v>5009.25</v>
      </c>
    </row>
  </sheetData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E17"/>
  <sheetViews>
    <sheetView zoomScaleNormal="100" workbookViewId="0">
      <selection activeCell="C6" sqref="C6"/>
    </sheetView>
  </sheetViews>
  <sheetFormatPr baseColWidth="10" defaultRowHeight="14.4" x14ac:dyDescent="0.3"/>
  <cols>
    <col min="3" max="3" width="25.21875" customWidth="1"/>
    <col min="4" max="4" width="24.44140625" customWidth="1"/>
    <col min="5" max="5" width="23.5546875" customWidth="1"/>
  </cols>
  <sheetData>
    <row r="6" spans="3:5" ht="14.55" x14ac:dyDescent="0.35">
      <c r="C6" t="s">
        <v>33</v>
      </c>
    </row>
    <row r="8" spans="3:5" x14ac:dyDescent="0.3">
      <c r="C8" s="8" t="s">
        <v>32</v>
      </c>
      <c r="D8" s="8" t="s">
        <v>21</v>
      </c>
      <c r="E8" s="8" t="s">
        <v>20</v>
      </c>
    </row>
    <row r="9" spans="3:5" ht="14.55" x14ac:dyDescent="0.35">
      <c r="C9" t="s">
        <v>31</v>
      </c>
      <c r="D9">
        <f>[1]Feuil1!B6+[1]Feuil1!B15+[1]Feuil1!B18+[1]Feuil1!B38+[1]Feuil1!B43</f>
        <v>14127</v>
      </c>
      <c r="E9">
        <f>D9/D17</f>
        <v>0.35252283275939511</v>
      </c>
    </row>
    <row r="10" spans="3:5" ht="14.55" x14ac:dyDescent="0.35">
      <c r="C10" t="s">
        <v>30</v>
      </c>
      <c r="D10">
        <v>5253</v>
      </c>
    </row>
    <row r="11" spans="3:5" ht="14.55" x14ac:dyDescent="0.35">
      <c r="C11" t="s">
        <v>29</v>
      </c>
      <c r="D11">
        <v>4965</v>
      </c>
    </row>
    <row r="12" spans="3:5" ht="14.55" x14ac:dyDescent="0.35">
      <c r="C12" t="s">
        <v>28</v>
      </c>
      <c r="D12">
        <v>6247</v>
      </c>
    </row>
    <row r="13" spans="3:5" ht="14.55" x14ac:dyDescent="0.35">
      <c r="C13" t="s">
        <v>27</v>
      </c>
      <c r="D13">
        <v>2240</v>
      </c>
    </row>
    <row r="14" spans="3:5" ht="14.55" x14ac:dyDescent="0.35">
      <c r="C14" t="s">
        <v>26</v>
      </c>
      <c r="D14">
        <v>1887</v>
      </c>
    </row>
    <row r="15" spans="3:5" ht="14.55" x14ac:dyDescent="0.35">
      <c r="C15" t="s">
        <v>25</v>
      </c>
      <c r="D15">
        <v>2661</v>
      </c>
    </row>
    <row r="16" spans="3:5" ht="14.55" x14ac:dyDescent="0.35">
      <c r="C16" t="s">
        <v>24</v>
      </c>
      <c r="D16">
        <v>2694</v>
      </c>
    </row>
    <row r="17" spans="3:5" x14ac:dyDescent="0.3">
      <c r="C17" s="8" t="s">
        <v>14</v>
      </c>
      <c r="D17" s="8">
        <f>SUM(D9:D16)</f>
        <v>40074</v>
      </c>
      <c r="E17" s="8"/>
    </row>
  </sheetData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workbookViewId="0">
      <selection activeCell="H23" sqref="H23"/>
    </sheetView>
  </sheetViews>
  <sheetFormatPr baseColWidth="10" defaultRowHeight="14.4" x14ac:dyDescent="0.3"/>
  <cols>
    <col min="2" max="6" width="21.77734375" customWidth="1"/>
    <col min="7" max="7" width="15.5546875" customWidth="1"/>
    <col min="8" max="8" width="17.21875" customWidth="1"/>
  </cols>
  <sheetData>
    <row r="2" spans="2:8" ht="14.55" x14ac:dyDescent="0.35">
      <c r="B2" t="s">
        <v>13</v>
      </c>
    </row>
    <row r="4" spans="2:8" ht="14.55" x14ac:dyDescent="0.35">
      <c r="B4" s="7" t="s">
        <v>12</v>
      </c>
      <c r="C4" s="7" t="s">
        <v>11</v>
      </c>
      <c r="D4" s="7" t="s">
        <v>10</v>
      </c>
      <c r="E4" s="7" t="s">
        <v>9</v>
      </c>
      <c r="F4" s="7" t="s">
        <v>8</v>
      </c>
      <c r="G4" s="7" t="s">
        <v>7</v>
      </c>
      <c r="H4" s="7" t="s">
        <v>6</v>
      </c>
    </row>
    <row r="5" spans="2:8" ht="14.55" x14ac:dyDescent="0.35">
      <c r="B5" s="1">
        <v>1</v>
      </c>
      <c r="C5" s="5">
        <v>120</v>
      </c>
      <c r="D5" s="1">
        <v>3</v>
      </c>
      <c r="E5" s="5">
        <f t="shared" ref="E5:E18" si="0">+C5*D5</f>
        <v>360</v>
      </c>
      <c r="F5" s="6">
        <v>0.05</v>
      </c>
      <c r="G5" s="5">
        <f t="shared" ref="G5:G18" si="1">+E5*F5</f>
        <v>18</v>
      </c>
      <c r="H5" s="5">
        <f t="shared" ref="H5:H18" si="2">+E5-G5</f>
        <v>342</v>
      </c>
    </row>
    <row r="6" spans="2:8" ht="14.55" x14ac:dyDescent="0.35">
      <c r="B6" s="1">
        <v>2</v>
      </c>
      <c r="C6" s="5">
        <v>56</v>
      </c>
      <c r="D6" s="1">
        <v>5</v>
      </c>
      <c r="E6" s="5">
        <f t="shared" si="0"/>
        <v>280</v>
      </c>
      <c r="F6" s="6">
        <v>0.05</v>
      </c>
      <c r="G6" s="5">
        <f t="shared" si="1"/>
        <v>14</v>
      </c>
      <c r="H6" s="5">
        <f t="shared" si="2"/>
        <v>266</v>
      </c>
    </row>
    <row r="7" spans="2:8" ht="14.55" x14ac:dyDescent="0.35">
      <c r="B7" s="1">
        <v>3</v>
      </c>
      <c r="C7" s="5">
        <v>70</v>
      </c>
      <c r="D7" s="1">
        <v>2</v>
      </c>
      <c r="E7" s="5">
        <f t="shared" si="0"/>
        <v>140</v>
      </c>
      <c r="F7" s="6">
        <v>0.05</v>
      </c>
      <c r="G7" s="5">
        <f t="shared" si="1"/>
        <v>7</v>
      </c>
      <c r="H7" s="5">
        <f t="shared" si="2"/>
        <v>133</v>
      </c>
    </row>
    <row r="8" spans="2:8" ht="14.55" x14ac:dyDescent="0.35">
      <c r="B8" s="1">
        <v>4</v>
      </c>
      <c r="C8" s="5">
        <v>430</v>
      </c>
      <c r="D8" s="1">
        <v>7</v>
      </c>
      <c r="E8" s="5">
        <f t="shared" si="0"/>
        <v>3010</v>
      </c>
      <c r="F8" s="6">
        <v>0.1</v>
      </c>
      <c r="G8" s="5">
        <f t="shared" si="1"/>
        <v>301</v>
      </c>
      <c r="H8" s="5">
        <f t="shared" si="2"/>
        <v>2709</v>
      </c>
    </row>
    <row r="9" spans="2:8" ht="14.55" x14ac:dyDescent="0.35">
      <c r="B9" s="1">
        <v>5</v>
      </c>
      <c r="C9" s="5">
        <v>230</v>
      </c>
      <c r="D9" s="1">
        <v>23</v>
      </c>
      <c r="E9" s="5">
        <f t="shared" si="0"/>
        <v>5290</v>
      </c>
      <c r="F9" s="6">
        <v>0.1</v>
      </c>
      <c r="G9" s="5">
        <f t="shared" si="1"/>
        <v>529</v>
      </c>
      <c r="H9" s="5">
        <f t="shared" si="2"/>
        <v>4761</v>
      </c>
    </row>
    <row r="10" spans="2:8" ht="14.55" x14ac:dyDescent="0.35">
      <c r="B10" s="1">
        <v>6</v>
      </c>
      <c r="C10" s="5">
        <v>10</v>
      </c>
      <c r="D10" s="1">
        <v>2</v>
      </c>
      <c r="E10" s="5">
        <f t="shared" si="0"/>
        <v>20</v>
      </c>
      <c r="F10" s="6">
        <v>0</v>
      </c>
      <c r="G10" s="5">
        <f t="shared" si="1"/>
        <v>0</v>
      </c>
      <c r="H10" s="5">
        <f t="shared" si="2"/>
        <v>20</v>
      </c>
    </row>
    <row r="11" spans="2:8" ht="14.55" x14ac:dyDescent="0.35">
      <c r="B11" s="1">
        <v>7</v>
      </c>
      <c r="C11" s="5">
        <v>5</v>
      </c>
      <c r="D11" s="1">
        <v>8</v>
      </c>
      <c r="E11" s="5">
        <f t="shared" si="0"/>
        <v>40</v>
      </c>
      <c r="F11" s="6">
        <v>0</v>
      </c>
      <c r="G11" s="5">
        <f t="shared" si="1"/>
        <v>0</v>
      </c>
      <c r="H11" s="5">
        <f t="shared" si="2"/>
        <v>40</v>
      </c>
    </row>
    <row r="12" spans="2:8" ht="14.55" x14ac:dyDescent="0.35">
      <c r="B12" s="1">
        <v>8</v>
      </c>
      <c r="C12" s="5">
        <v>5040</v>
      </c>
      <c r="D12" s="1">
        <v>1</v>
      </c>
      <c r="E12" s="5">
        <f t="shared" si="0"/>
        <v>5040</v>
      </c>
      <c r="F12" s="6">
        <v>0.1</v>
      </c>
      <c r="G12" s="5">
        <f t="shared" si="1"/>
        <v>504</v>
      </c>
      <c r="H12" s="5">
        <f t="shared" si="2"/>
        <v>4536</v>
      </c>
    </row>
    <row r="13" spans="2:8" ht="14.55" x14ac:dyDescent="0.35">
      <c r="B13" s="1">
        <v>9</v>
      </c>
      <c r="C13" s="5">
        <v>1200</v>
      </c>
      <c r="D13" s="1">
        <v>3</v>
      </c>
      <c r="E13" s="5">
        <f t="shared" si="0"/>
        <v>3600</v>
      </c>
      <c r="F13" s="6">
        <v>0.1</v>
      </c>
      <c r="G13" s="5">
        <f t="shared" si="1"/>
        <v>360</v>
      </c>
      <c r="H13" s="5">
        <f t="shared" si="2"/>
        <v>3240</v>
      </c>
    </row>
    <row r="14" spans="2:8" ht="14.55" x14ac:dyDescent="0.35">
      <c r="B14" s="1">
        <v>10</v>
      </c>
      <c r="C14" s="5">
        <v>480</v>
      </c>
      <c r="D14" s="1">
        <v>4</v>
      </c>
      <c r="E14" s="5">
        <f t="shared" si="0"/>
        <v>1920</v>
      </c>
      <c r="F14" s="6">
        <v>0.1</v>
      </c>
      <c r="G14" s="5">
        <f t="shared" si="1"/>
        <v>192</v>
      </c>
      <c r="H14" s="5">
        <f t="shared" si="2"/>
        <v>1728</v>
      </c>
    </row>
    <row r="15" spans="2:8" ht="14.55" x14ac:dyDescent="0.35">
      <c r="B15" s="1">
        <v>11</v>
      </c>
      <c r="C15" s="5">
        <v>33</v>
      </c>
      <c r="D15" s="1">
        <v>5</v>
      </c>
      <c r="E15" s="5">
        <f t="shared" si="0"/>
        <v>165</v>
      </c>
      <c r="F15" s="6">
        <v>0.05</v>
      </c>
      <c r="G15" s="5">
        <f t="shared" si="1"/>
        <v>8.25</v>
      </c>
      <c r="H15" s="5">
        <f t="shared" si="2"/>
        <v>156.75</v>
      </c>
    </row>
    <row r="16" spans="2:8" ht="14.55" x14ac:dyDescent="0.35">
      <c r="B16" s="1">
        <v>12</v>
      </c>
      <c r="C16" s="5">
        <v>1200</v>
      </c>
      <c r="D16" s="1">
        <v>2</v>
      </c>
      <c r="E16" s="5">
        <f t="shared" si="0"/>
        <v>2400</v>
      </c>
      <c r="F16" s="6">
        <v>0.1</v>
      </c>
      <c r="G16" s="5">
        <f t="shared" si="1"/>
        <v>240</v>
      </c>
      <c r="H16" s="5">
        <f t="shared" si="2"/>
        <v>2160</v>
      </c>
    </row>
    <row r="17" spans="2:8" ht="14.55" x14ac:dyDescent="0.35">
      <c r="B17" s="1">
        <v>13</v>
      </c>
      <c r="C17" s="5">
        <v>15</v>
      </c>
      <c r="D17" s="1">
        <v>10</v>
      </c>
      <c r="E17" s="5">
        <f t="shared" si="0"/>
        <v>150</v>
      </c>
      <c r="F17" s="6">
        <v>0.05</v>
      </c>
      <c r="G17" s="5">
        <f t="shared" si="1"/>
        <v>7.5</v>
      </c>
      <c r="H17" s="5">
        <f t="shared" si="2"/>
        <v>142.5</v>
      </c>
    </row>
    <row r="18" spans="2:8" ht="14.55" x14ac:dyDescent="0.35">
      <c r="B18" s="1">
        <v>14</v>
      </c>
      <c r="C18" s="5">
        <v>24</v>
      </c>
      <c r="D18" s="1">
        <v>5</v>
      </c>
      <c r="E18" s="5">
        <f t="shared" si="0"/>
        <v>120</v>
      </c>
      <c r="F18" s="6">
        <v>0.05</v>
      </c>
      <c r="G18" s="5">
        <f t="shared" si="1"/>
        <v>6</v>
      </c>
      <c r="H18" s="5">
        <f t="shared" si="2"/>
        <v>114</v>
      </c>
    </row>
    <row r="19" spans="2:8" ht="14.55" x14ac:dyDescent="0.35">
      <c r="B19" s="1"/>
      <c r="C19" s="1"/>
      <c r="D19" s="1"/>
      <c r="E19" s="1"/>
      <c r="F19" s="1"/>
      <c r="G19" s="1"/>
      <c r="H19" s="1"/>
    </row>
    <row r="21" spans="2:8" ht="14.55" x14ac:dyDescent="0.35">
      <c r="G21" s="3" t="s">
        <v>5</v>
      </c>
      <c r="H21" s="2">
        <f>+H18+H17+H16+H15+H14+H13+H12+H11+H10+H9+H8+H7+H6+H5</f>
        <v>20348.25</v>
      </c>
    </row>
    <row r="22" spans="2:8" ht="14.55" x14ac:dyDescent="0.35">
      <c r="G22" s="3" t="s">
        <v>4</v>
      </c>
      <c r="H22" s="4">
        <v>0.19</v>
      </c>
    </row>
    <row r="23" spans="2:8" x14ac:dyDescent="0.3">
      <c r="G23" s="3" t="s">
        <v>3</v>
      </c>
      <c r="H23" s="2">
        <f>+H21*H22</f>
        <v>3866.1675</v>
      </c>
    </row>
    <row r="24" spans="2:8" x14ac:dyDescent="0.3">
      <c r="G24" s="3" t="s">
        <v>2</v>
      </c>
      <c r="H24" s="2">
        <f>+H23+H21</f>
        <v>24214.4175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15"/>
  <sheetViews>
    <sheetView topLeftCell="A2" workbookViewId="0">
      <selection activeCell="N25" sqref="N25"/>
    </sheetView>
  </sheetViews>
  <sheetFormatPr baseColWidth="10" defaultRowHeight="14.4" x14ac:dyDescent="0.3"/>
  <cols>
    <col min="3" max="3" width="14.21875" customWidth="1"/>
    <col min="4" max="4" width="14.77734375" customWidth="1"/>
    <col min="5" max="6" width="14.21875" customWidth="1"/>
  </cols>
  <sheetData>
    <row r="5" spans="3:5" x14ac:dyDescent="0.35">
      <c r="C5" s="1" t="s">
        <v>36</v>
      </c>
      <c r="D5" s="1" t="s">
        <v>35</v>
      </c>
      <c r="E5" s="1" t="s">
        <v>34</v>
      </c>
    </row>
    <row r="6" spans="3:5" x14ac:dyDescent="0.35">
      <c r="C6" s="1">
        <v>1</v>
      </c>
      <c r="D6" s="1">
        <v>5</v>
      </c>
      <c r="E6" s="1">
        <v>5</v>
      </c>
    </row>
    <row r="7" spans="3:5" x14ac:dyDescent="0.35">
      <c r="C7" s="1">
        <v>2</v>
      </c>
      <c r="D7" s="1">
        <v>10</v>
      </c>
      <c r="E7" s="1">
        <v>5</v>
      </c>
    </row>
    <row r="8" spans="3:5" x14ac:dyDescent="0.35">
      <c r="C8" s="1">
        <v>3</v>
      </c>
      <c r="D8" s="1">
        <v>17</v>
      </c>
      <c r="E8" s="1">
        <v>5.6666666670000003</v>
      </c>
    </row>
    <row r="9" spans="3:5" x14ac:dyDescent="0.35">
      <c r="C9" s="1">
        <v>4</v>
      </c>
      <c r="D9" s="1">
        <v>27</v>
      </c>
      <c r="E9" s="1">
        <v>6.75</v>
      </c>
    </row>
    <row r="10" spans="3:5" x14ac:dyDescent="0.35">
      <c r="C10" s="1">
        <v>5</v>
      </c>
      <c r="D10" s="1">
        <v>37</v>
      </c>
      <c r="E10" s="1">
        <v>7.4</v>
      </c>
    </row>
    <row r="11" spans="3:5" x14ac:dyDescent="0.35">
      <c r="C11" s="1">
        <v>6</v>
      </c>
      <c r="D11" s="1">
        <v>49</v>
      </c>
      <c r="E11" s="1">
        <v>8.1666666669999994</v>
      </c>
    </row>
    <row r="12" spans="3:5" x14ac:dyDescent="0.35">
      <c r="C12" s="1">
        <v>7</v>
      </c>
      <c r="D12" s="1">
        <v>63</v>
      </c>
      <c r="E12" s="1">
        <v>9</v>
      </c>
    </row>
    <row r="13" spans="3:5" x14ac:dyDescent="0.35">
      <c r="C13" s="1">
        <v>8</v>
      </c>
      <c r="D13" s="1">
        <v>75</v>
      </c>
      <c r="E13" s="1">
        <v>9.375</v>
      </c>
    </row>
    <row r="14" spans="3:5" x14ac:dyDescent="0.35">
      <c r="C14" s="1">
        <v>9</v>
      </c>
      <c r="D14" s="1">
        <v>83</v>
      </c>
      <c r="E14" s="1">
        <v>9.2222222219999992</v>
      </c>
    </row>
    <row r="15" spans="3:5" x14ac:dyDescent="0.35">
      <c r="C15" s="1">
        <v>10</v>
      </c>
      <c r="D15" s="1">
        <v>91</v>
      </c>
      <c r="E15" s="1">
        <v>9.1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3"/>
  <sheetViews>
    <sheetView workbookViewId="0">
      <selection activeCell="I21" sqref="I21"/>
    </sheetView>
  </sheetViews>
  <sheetFormatPr baseColWidth="10" defaultRowHeight="14.4" x14ac:dyDescent="0.3"/>
  <sheetData>
    <row r="3" spans="2:3" x14ac:dyDescent="0.35">
      <c r="B3" s="1" t="s">
        <v>36</v>
      </c>
      <c r="C3" s="1" t="s">
        <v>34</v>
      </c>
    </row>
    <row r="4" spans="2:3" x14ac:dyDescent="0.35">
      <c r="B4" s="1">
        <v>1</v>
      </c>
      <c r="C4" s="1">
        <v>5</v>
      </c>
    </row>
    <row r="5" spans="2:3" x14ac:dyDescent="0.35">
      <c r="B5" s="1">
        <v>2</v>
      </c>
      <c r="C5" s="1">
        <v>5</v>
      </c>
    </row>
    <row r="6" spans="2:3" x14ac:dyDescent="0.35">
      <c r="B6" s="1">
        <v>3</v>
      </c>
      <c r="C6" s="1">
        <v>5.6666666670000003</v>
      </c>
    </row>
    <row r="7" spans="2:3" x14ac:dyDescent="0.35">
      <c r="B7" s="1">
        <v>4</v>
      </c>
      <c r="C7" s="1">
        <v>6.75</v>
      </c>
    </row>
    <row r="8" spans="2:3" x14ac:dyDescent="0.35">
      <c r="B8" s="1">
        <v>5</v>
      </c>
      <c r="C8" s="1">
        <v>7.4</v>
      </c>
    </row>
    <row r="9" spans="2:3" x14ac:dyDescent="0.35">
      <c r="B9" s="1">
        <v>6</v>
      </c>
      <c r="C9" s="1">
        <v>8.1666666669999994</v>
      </c>
    </row>
    <row r="10" spans="2:3" x14ac:dyDescent="0.35">
      <c r="B10" s="1">
        <v>7</v>
      </c>
      <c r="C10" s="1">
        <v>9</v>
      </c>
    </row>
    <row r="11" spans="2:3" x14ac:dyDescent="0.35">
      <c r="B11" s="1">
        <v>8</v>
      </c>
      <c r="C11" s="1">
        <v>9.375</v>
      </c>
    </row>
    <row r="12" spans="2:3" x14ac:dyDescent="0.35">
      <c r="B12" s="1">
        <v>9</v>
      </c>
      <c r="C12" s="1">
        <v>9.2222222219999992</v>
      </c>
    </row>
    <row r="13" spans="2:3" x14ac:dyDescent="0.35">
      <c r="B13" s="1">
        <v>10</v>
      </c>
      <c r="C13" s="1">
        <v>9.1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Feuil4</vt:lpstr>
      <vt:lpstr>Feuil5</vt:lpstr>
      <vt:lpstr>Feuil6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Bouhadi</dc:creator>
  <cp:lastModifiedBy>le prince</cp:lastModifiedBy>
  <dcterms:created xsi:type="dcterms:W3CDTF">2025-12-25T00:00:22Z</dcterms:created>
  <dcterms:modified xsi:type="dcterms:W3CDTF">2025-12-29T15:14:49Z</dcterms:modified>
</cp:coreProperties>
</file>