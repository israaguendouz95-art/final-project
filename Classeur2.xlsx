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45" windowWidth="19875" windowHeight="7725"/>
  </bookViews>
  <sheets>
    <sheet name="Feuil1" sheetId="1" r:id="rId1"/>
  </sheets>
  <calcPr calcId="144525"/>
</workbook>
</file>

<file path=xl/calcChain.xml><?xml version="1.0" encoding="utf-8"?>
<calcChain xmlns="http://schemas.openxmlformats.org/spreadsheetml/2006/main">
  <c r="D2" i="1" l="1"/>
  <c r="E2" i="1" s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E12" i="1" l="1"/>
  <c r="E6" i="1"/>
  <c r="F2" i="1"/>
  <c r="E14" i="1"/>
  <c r="E10" i="1"/>
  <c r="F10" i="1" s="1"/>
  <c r="G10" i="1" s="1"/>
  <c r="E8" i="1"/>
  <c r="F8" i="1" s="1"/>
  <c r="G8" i="1" s="1"/>
  <c r="E4" i="1"/>
  <c r="F4" i="1" s="1"/>
  <c r="G4" i="1" s="1"/>
  <c r="F14" i="1"/>
  <c r="G14" i="1" s="1"/>
  <c r="F12" i="1"/>
  <c r="G12" i="1" s="1"/>
  <c r="F6" i="1"/>
  <c r="G6" i="1" s="1"/>
  <c r="G2" i="1"/>
  <c r="E15" i="1"/>
  <c r="F15" i="1" s="1"/>
  <c r="G15" i="1" s="1"/>
  <c r="F17" i="1" s="1"/>
  <c r="E13" i="1"/>
  <c r="E11" i="1"/>
  <c r="F11" i="1" s="1"/>
  <c r="G11" i="1" s="1"/>
  <c r="E9" i="1"/>
  <c r="E7" i="1"/>
  <c r="F7" i="1" s="1"/>
  <c r="G7" i="1" s="1"/>
  <c r="E5" i="1"/>
  <c r="F5" i="1" s="1"/>
  <c r="G5" i="1" s="1"/>
  <c r="E3" i="1"/>
  <c r="F3" i="1" s="1"/>
  <c r="G3" i="1" s="1"/>
  <c r="F13" i="1"/>
  <c r="G13" i="1" s="1"/>
  <c r="F9" i="1"/>
  <c r="G9" i="1" s="1"/>
  <c r="F19" i="1" l="1"/>
  <c r="F20" i="1" s="1"/>
</calcChain>
</file>

<file path=xl/sharedStrings.xml><?xml version="1.0" encoding="utf-8"?>
<sst xmlns="http://schemas.openxmlformats.org/spreadsheetml/2006/main" count="11" uniqueCount="11">
  <si>
    <t>ID</t>
  </si>
  <si>
    <t>PU</t>
  </si>
  <si>
    <t>QTE</t>
  </si>
  <si>
    <t>PT</t>
  </si>
  <si>
    <t>Remise</t>
  </si>
  <si>
    <t>Val remise</t>
  </si>
  <si>
    <t>Total a payer</t>
  </si>
  <si>
    <t>Total Facture:</t>
  </si>
  <si>
    <t>TVA:</t>
  </si>
  <si>
    <t>Val TVA:</t>
  </si>
  <si>
    <t>TTC: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</si>
</sst>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&quot;DZD&quot;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7" tint="-0.24997711111789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NumberFormat="1"/>
    <xf numFmtId="0" fontId="0" fillId="0" borderId="0" xfId="0" applyBorder="1"/>
    <xf numFmtId="164" fontId="0" fillId="4" borderId="4" xfId="0" applyNumberFormat="1" applyFill="1" applyBorder="1"/>
    <xf numFmtId="164" fontId="0" fillId="3" borderId="4" xfId="0" applyNumberFormat="1" applyFill="1" applyBorder="1"/>
    <xf numFmtId="164" fontId="0" fillId="3" borderId="6" xfId="0" applyNumberFormat="1" applyFill="1" applyBorder="1"/>
    <xf numFmtId="0" fontId="0" fillId="4" borderId="8" xfId="0" applyFill="1" applyBorder="1"/>
    <xf numFmtId="0" fontId="0" fillId="3" borderId="8" xfId="0" applyFill="1" applyBorder="1"/>
    <xf numFmtId="0" fontId="0" fillId="3" borderId="9" xfId="0" applyFill="1" applyBorder="1"/>
    <xf numFmtId="164" fontId="0" fillId="4" borderId="11" xfId="0" applyNumberFormat="1" applyFill="1" applyBorder="1"/>
    <xf numFmtId="164" fontId="0" fillId="3" borderId="11" xfId="0" applyNumberFormat="1" applyFill="1" applyBorder="1"/>
    <xf numFmtId="164" fontId="0" fillId="3" borderId="12" xfId="0" applyNumberFormat="1" applyFill="1" applyBorder="1"/>
    <xf numFmtId="164" fontId="0" fillId="4" borderId="14" xfId="0" applyNumberFormat="1" applyFill="1" applyBorder="1"/>
    <xf numFmtId="164" fontId="0" fillId="3" borderId="14" xfId="0" applyNumberFormat="1" applyFill="1" applyBorder="1"/>
    <xf numFmtId="164" fontId="0" fillId="3" borderId="15" xfId="0" applyNumberFormat="1" applyFill="1" applyBorder="1"/>
    <xf numFmtId="0" fontId="0" fillId="4" borderId="14" xfId="0" applyFill="1" applyBorder="1"/>
    <xf numFmtId="0" fontId="0" fillId="3" borderId="14" xfId="0" applyFill="1" applyBorder="1"/>
    <xf numFmtId="9" fontId="0" fillId="4" borderId="14" xfId="0" applyNumberFormat="1" applyFill="1" applyBorder="1"/>
    <xf numFmtId="9" fontId="0" fillId="3" borderId="14" xfId="0" applyNumberFormat="1" applyFill="1" applyBorder="1"/>
    <xf numFmtId="9" fontId="0" fillId="3" borderId="15" xfId="0" applyNumberFormat="1" applyFill="1" applyBorder="1"/>
    <xf numFmtId="0" fontId="0" fillId="3" borderId="15" xfId="0" applyFill="1" applyBorder="1"/>
    <xf numFmtId="164" fontId="0" fillId="0" borderId="2" xfId="0" applyNumberFormat="1" applyBorder="1"/>
    <xf numFmtId="9" fontId="0" fillId="0" borderId="4" xfId="0" applyNumberFormat="1" applyBorder="1"/>
    <xf numFmtId="164" fontId="0" fillId="0" borderId="4" xfId="0" applyNumberFormat="1" applyBorder="1"/>
    <xf numFmtId="164" fontId="2" fillId="4" borderId="6" xfId="0" applyNumberFormat="1" applyFont="1" applyFill="1" applyBorder="1"/>
    <xf numFmtId="0" fontId="1" fillId="2" borderId="7" xfId="0" applyFont="1" applyFill="1" applyBorder="1" applyAlignment="1">
      <alignment horizontal="center" vertical="center"/>
    </xf>
    <xf numFmtId="2" fontId="1" fillId="2" borderId="13" xfId="0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0" xfId="0" applyNumberFormat="1" applyFont="1" applyFill="1" applyBorder="1" applyAlignment="1">
      <alignment horizontal="center" vertical="center"/>
    </xf>
    <xf numFmtId="9" fontId="1" fillId="2" borderId="13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0" xfId="0" applyFont="1"/>
    <xf numFmtId="0" fontId="1" fillId="0" borderId="1" xfId="0" applyFont="1" applyBorder="1" applyAlignment="1">
      <alignment horizontal="right" vertical="center"/>
    </xf>
    <xf numFmtId="0" fontId="1" fillId="0" borderId="3" xfId="0" applyFont="1" applyBorder="1" applyAlignment="1">
      <alignment horizontal="right" vertical="center"/>
    </xf>
    <xf numFmtId="0" fontId="1" fillId="0" borderId="5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tabSelected="1" zoomScaleNormal="100" workbookViewId="0">
      <selection activeCell="D18" sqref="D18"/>
    </sheetView>
  </sheetViews>
  <sheetFormatPr baseColWidth="10" defaultRowHeight="15" x14ac:dyDescent="0.25"/>
  <cols>
    <col min="1" max="1" width="12.5703125" customWidth="1"/>
    <col min="2" max="2" width="17" customWidth="1"/>
    <col min="3" max="3" width="14.5703125" customWidth="1"/>
    <col min="4" max="4" width="14.140625" customWidth="1"/>
    <col min="5" max="5" width="17.140625" customWidth="1"/>
    <col min="6" max="6" width="18" customWidth="1"/>
    <col min="7" max="7" width="16.5703125" customWidth="1"/>
  </cols>
  <sheetData>
    <row r="1" spans="1:7" x14ac:dyDescent="0.25">
      <c r="A1" s="25" t="s">
        <v>0</v>
      </c>
      <c r="B1" s="26" t="s">
        <v>1</v>
      </c>
      <c r="C1" s="27" t="s">
        <v>2</v>
      </c>
      <c r="D1" s="28" t="s">
        <v>3</v>
      </c>
      <c r="E1" s="29" t="s">
        <v>4</v>
      </c>
      <c r="F1" s="27" t="s">
        <v>5</v>
      </c>
      <c r="G1" s="30" t="s">
        <v>6</v>
      </c>
    </row>
    <row r="2" spans="1:7" x14ac:dyDescent="0.25">
      <c r="A2" s="6">
        <v>1</v>
      </c>
      <c r="B2" s="12">
        <v>120</v>
      </c>
      <c r="C2" s="15">
        <v>3</v>
      </c>
      <c r="D2" s="9">
        <f>(B2*C2)</f>
        <v>360</v>
      </c>
      <c r="E2" s="17">
        <f>IF(AND(D2&gt;=100,D2&lt;=999),5%, IF(D2&gt;=1000,10%,0%))</f>
        <v>0.05</v>
      </c>
      <c r="F2" s="12">
        <f>D2*E2</f>
        <v>18</v>
      </c>
      <c r="G2" s="3">
        <f>D2-F2</f>
        <v>342</v>
      </c>
    </row>
    <row r="3" spans="1:7" x14ac:dyDescent="0.25">
      <c r="A3" s="7">
        <v>2</v>
      </c>
      <c r="B3" s="13">
        <v>56</v>
      </c>
      <c r="C3" s="16">
        <v>5</v>
      </c>
      <c r="D3" s="10">
        <f t="shared" ref="D3:D15" si="0">(B3*C3)</f>
        <v>280</v>
      </c>
      <c r="E3" s="18">
        <f t="shared" ref="E3:E15" si="1">IF(AND(D3&gt;=100,D3&lt;=999),5%, IF(D3&gt;=1000,10%,0%))</f>
        <v>0.05</v>
      </c>
      <c r="F3" s="13">
        <f t="shared" ref="F3:F15" si="2">D3*E3</f>
        <v>14</v>
      </c>
      <c r="G3" s="4">
        <f t="shared" ref="G3:G15" si="3">D3-F3</f>
        <v>266</v>
      </c>
    </row>
    <row r="4" spans="1:7" x14ac:dyDescent="0.25">
      <c r="A4" s="6">
        <v>3</v>
      </c>
      <c r="B4" s="12">
        <v>70</v>
      </c>
      <c r="C4" s="15">
        <v>2</v>
      </c>
      <c r="D4" s="9">
        <f t="shared" si="0"/>
        <v>140</v>
      </c>
      <c r="E4" s="17">
        <f t="shared" si="1"/>
        <v>0.05</v>
      </c>
      <c r="F4" s="12">
        <f t="shared" si="2"/>
        <v>7</v>
      </c>
      <c r="G4" s="3">
        <f t="shared" si="3"/>
        <v>133</v>
      </c>
    </row>
    <row r="5" spans="1:7" x14ac:dyDescent="0.25">
      <c r="A5" s="7">
        <v>4</v>
      </c>
      <c r="B5" s="13">
        <v>430</v>
      </c>
      <c r="C5" s="16">
        <v>7</v>
      </c>
      <c r="D5" s="10">
        <f t="shared" si="0"/>
        <v>3010</v>
      </c>
      <c r="E5" s="18">
        <f t="shared" si="1"/>
        <v>0.1</v>
      </c>
      <c r="F5" s="13">
        <f t="shared" si="2"/>
        <v>301</v>
      </c>
      <c r="G5" s="4">
        <f t="shared" si="3"/>
        <v>2709</v>
      </c>
    </row>
    <row r="6" spans="1:7" x14ac:dyDescent="0.25">
      <c r="A6" s="6">
        <v>5</v>
      </c>
      <c r="B6" s="12">
        <v>230</v>
      </c>
      <c r="C6" s="15">
        <v>23</v>
      </c>
      <c r="D6" s="9">
        <f t="shared" si="0"/>
        <v>5290</v>
      </c>
      <c r="E6" s="17">
        <f t="shared" si="1"/>
        <v>0.1</v>
      </c>
      <c r="F6" s="12">
        <f t="shared" si="2"/>
        <v>529</v>
      </c>
      <c r="G6" s="3">
        <f t="shared" si="3"/>
        <v>4761</v>
      </c>
    </row>
    <row r="7" spans="1:7" x14ac:dyDescent="0.25">
      <c r="A7" s="7">
        <v>6</v>
      </c>
      <c r="B7" s="13">
        <v>10</v>
      </c>
      <c r="C7" s="16">
        <v>2</v>
      </c>
      <c r="D7" s="10">
        <f t="shared" si="0"/>
        <v>20</v>
      </c>
      <c r="E7" s="18">
        <f t="shared" si="1"/>
        <v>0</v>
      </c>
      <c r="F7" s="13">
        <f t="shared" si="2"/>
        <v>0</v>
      </c>
      <c r="G7" s="4">
        <f t="shared" si="3"/>
        <v>20</v>
      </c>
    </row>
    <row r="8" spans="1:7" x14ac:dyDescent="0.25">
      <c r="A8" s="6">
        <v>7</v>
      </c>
      <c r="B8" s="12">
        <v>5</v>
      </c>
      <c r="C8" s="15">
        <v>8</v>
      </c>
      <c r="D8" s="9">
        <f t="shared" si="0"/>
        <v>40</v>
      </c>
      <c r="E8" s="17">
        <f t="shared" si="1"/>
        <v>0</v>
      </c>
      <c r="F8" s="12">
        <f t="shared" si="2"/>
        <v>0</v>
      </c>
      <c r="G8" s="3">
        <f t="shared" si="3"/>
        <v>40</v>
      </c>
    </row>
    <row r="9" spans="1:7" x14ac:dyDescent="0.25">
      <c r="A9" s="7">
        <v>8</v>
      </c>
      <c r="B9" s="13">
        <v>5040</v>
      </c>
      <c r="C9" s="16">
        <v>1</v>
      </c>
      <c r="D9" s="10">
        <f t="shared" si="0"/>
        <v>5040</v>
      </c>
      <c r="E9" s="18">
        <f t="shared" si="1"/>
        <v>0.1</v>
      </c>
      <c r="F9" s="13">
        <f t="shared" si="2"/>
        <v>504</v>
      </c>
      <c r="G9" s="4">
        <f t="shared" si="3"/>
        <v>4536</v>
      </c>
    </row>
    <row r="10" spans="1:7" x14ac:dyDescent="0.25">
      <c r="A10" s="6">
        <v>9</v>
      </c>
      <c r="B10" s="12">
        <v>1200</v>
      </c>
      <c r="C10" s="15">
        <v>3</v>
      </c>
      <c r="D10" s="9">
        <f t="shared" si="0"/>
        <v>3600</v>
      </c>
      <c r="E10" s="17">
        <f t="shared" si="1"/>
        <v>0.1</v>
      </c>
      <c r="F10" s="12">
        <f t="shared" si="2"/>
        <v>360</v>
      </c>
      <c r="G10" s="3">
        <f t="shared" si="3"/>
        <v>3240</v>
      </c>
    </row>
    <row r="11" spans="1:7" x14ac:dyDescent="0.25">
      <c r="A11" s="7">
        <v>10</v>
      </c>
      <c r="B11" s="13">
        <v>480</v>
      </c>
      <c r="C11" s="16">
        <v>4</v>
      </c>
      <c r="D11" s="10">
        <f t="shared" si="0"/>
        <v>1920</v>
      </c>
      <c r="E11" s="18">
        <f t="shared" si="1"/>
        <v>0.1</v>
      </c>
      <c r="F11" s="13">
        <f t="shared" si="2"/>
        <v>192</v>
      </c>
      <c r="G11" s="4">
        <f t="shared" si="3"/>
        <v>1728</v>
      </c>
    </row>
    <row r="12" spans="1:7" x14ac:dyDescent="0.25">
      <c r="A12" s="6">
        <v>11</v>
      </c>
      <c r="B12" s="12">
        <v>33</v>
      </c>
      <c r="C12" s="15">
        <v>5</v>
      </c>
      <c r="D12" s="9">
        <f t="shared" si="0"/>
        <v>165</v>
      </c>
      <c r="E12" s="17">
        <f t="shared" si="1"/>
        <v>0.05</v>
      </c>
      <c r="F12" s="12">
        <f t="shared" si="2"/>
        <v>8.25</v>
      </c>
      <c r="G12" s="3">
        <f t="shared" si="3"/>
        <v>156.75</v>
      </c>
    </row>
    <row r="13" spans="1:7" x14ac:dyDescent="0.25">
      <c r="A13" s="7">
        <v>12</v>
      </c>
      <c r="B13" s="13">
        <v>1200</v>
      </c>
      <c r="C13" s="16">
        <v>2</v>
      </c>
      <c r="D13" s="10">
        <f t="shared" si="0"/>
        <v>2400</v>
      </c>
      <c r="E13" s="18">
        <f t="shared" si="1"/>
        <v>0.1</v>
      </c>
      <c r="F13" s="13">
        <f t="shared" si="2"/>
        <v>240</v>
      </c>
      <c r="G13" s="4">
        <f t="shared" si="3"/>
        <v>2160</v>
      </c>
    </row>
    <row r="14" spans="1:7" x14ac:dyDescent="0.25">
      <c r="A14" s="6">
        <v>13</v>
      </c>
      <c r="B14" s="12">
        <v>15</v>
      </c>
      <c r="C14" s="15">
        <v>10</v>
      </c>
      <c r="D14" s="9">
        <f t="shared" si="0"/>
        <v>150</v>
      </c>
      <c r="E14" s="17">
        <f t="shared" si="1"/>
        <v>0.05</v>
      </c>
      <c r="F14" s="12">
        <f t="shared" si="2"/>
        <v>7.5</v>
      </c>
      <c r="G14" s="3">
        <f t="shared" si="3"/>
        <v>142.5</v>
      </c>
    </row>
    <row r="15" spans="1:7" ht="15.75" thickBot="1" x14ac:dyDescent="0.3">
      <c r="A15" s="8">
        <v>14</v>
      </c>
      <c r="B15" s="14">
        <v>24</v>
      </c>
      <c r="C15" s="20">
        <v>5</v>
      </c>
      <c r="D15" s="11">
        <f t="shared" si="0"/>
        <v>120</v>
      </c>
      <c r="E15" s="19">
        <f t="shared" si="1"/>
        <v>0.05</v>
      </c>
      <c r="F15" s="14">
        <f t="shared" si="2"/>
        <v>6</v>
      </c>
      <c r="G15" s="5">
        <f t="shared" si="3"/>
        <v>114</v>
      </c>
    </row>
    <row r="16" spans="1:7" ht="15.75" thickBot="1" x14ac:dyDescent="0.3">
      <c r="D16" s="1"/>
    </row>
    <row r="17" spans="5:8" x14ac:dyDescent="0.25">
      <c r="E17" s="32" t="s">
        <v>7</v>
      </c>
      <c r="F17" s="21">
        <f>SUM(G2,G15)</f>
        <v>456</v>
      </c>
      <c r="G17" s="2"/>
    </row>
    <row r="18" spans="5:8" x14ac:dyDescent="0.25">
      <c r="E18" s="33" t="s">
        <v>8</v>
      </c>
      <c r="F18" s="22">
        <v>0.19</v>
      </c>
      <c r="G18" s="2"/>
    </row>
    <row r="19" spans="5:8" x14ac:dyDescent="0.25">
      <c r="E19" s="33" t="s">
        <v>9</v>
      </c>
      <c r="F19" s="23">
        <f>F17*F18</f>
        <v>86.64</v>
      </c>
      <c r="G19" s="2"/>
      <c r="H19" s="31"/>
    </row>
    <row r="20" spans="5:8" ht="15.75" thickBot="1" x14ac:dyDescent="0.3">
      <c r="E20" s="34" t="s">
        <v>10</v>
      </c>
      <c r="F20" s="24">
        <f>F17*F19</f>
        <v>39507.840000000004</v>
      </c>
      <c r="G20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2025-12-28T13:32:29Z</dcterms:created>
  <dcterms:modified xsi:type="dcterms:W3CDTF">2025-12-28T17:59:12Z</dcterms:modified>
</cp:coreProperties>
</file>